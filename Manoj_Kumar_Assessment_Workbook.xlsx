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Q1_Profit" sheetId="2" state="visible" r:id="rId4"/>
    <sheet name="Q2_Functions" sheetId="3" state="visible" r:id="rId5"/>
    <sheet name="Q4_Competitors" sheetId="4" state="visible" r:id="rId6"/>
    <sheet name="Q4_Summary" sheetId="5" state="visible" r:id="rId7"/>
    <sheet name="Q5_Opportunities" sheetId="6" state="visible" r:id="rId8"/>
    <sheet name="Q6_Profitability" sheetId="7" state="visible" r:id="rId9"/>
    <sheet name="Q8_Sales" sheetId="8" state="visible" r:id="rId10"/>
    <sheet name="Q9_Funnel" sheetId="9" state="visible" r:id="rId11"/>
    <sheet name="Sources" sheetId="10" state="visible" r:id="rId12"/>
    <sheet name="QA" sheetId="11" state="visible" r:id="rId13"/>
  </sheets>
  <definedNames>
    <definedName function="false" hidden="true" localSheetId="3" name="_xlnm._FilterDatabase" vbProcedure="false">Q4_Competitors!$A$4:$R$19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<sst xmlns="http://schemas.openxmlformats.org/spreadsheetml/2006/main" count="916" uniqueCount="612">
  <si>
    <t xml:space="preserve">Market Research &amp; Data Analyst Assessment - Workbook</t>
  </si>
  <si>
    <t xml:space="preserve">Prepared by Manoj Kumar | Research date: 8 October 2026 | All prices in AUD</t>
  </si>
  <si>
    <t xml:space="preserve">Purpose</t>
  </si>
  <si>
    <t xml:space="preserve">Supporting calculations and research tables for the 15-question assessment. The written answers are in the companion Word document.</t>
  </si>
  <si>
    <t xml:space="preserve">AI disclosure</t>
  </si>
  <si>
    <t xml:space="preserve">This submission was prepared with AI assistance (Claude), which the candidate confirms the interviewer/company permitted for this assessment.</t>
  </si>
  <si>
    <t xml:space="preserve">How to read</t>
  </si>
  <si>
    <t xml:space="preserve">Blue text on yellow = inputs/assumptions you can change. Black = formulas. Green fill = key result.</t>
  </si>
  <si>
    <t xml:space="preserve">Q1_Profit</t>
  </si>
  <si>
    <t xml:space="preserve">Profit $ and margin % per product, highest-margin product, priority recommendation (Q1).</t>
  </si>
  <si>
    <t xml:space="preserve">Q2_Functions</t>
  </si>
  <si>
    <t xml:space="preserve">Live examples of SUM, AVERAGE, IF, COUNTIF, VLOOKUP and INDEX/MATCH on small sample data. XLOOKUP is shown as typed text only (see note on that sheet).</t>
  </si>
  <si>
    <t xml:space="preserve">Q4_Competitors</t>
  </si>
  <si>
    <t xml:space="preserve">15 verified product records (3 each from Kogan, Big W, Kmart, Temple &amp; Webster, Bunnings) for ONE category: office chairs.</t>
  </si>
  <si>
    <t xml:space="preserve">Q4_Summary</t>
  </si>
  <si>
    <t xml:space="preserve">Per-competitor price statistics, discount behaviour and rating signals, calculated from Q4_Competitors.</t>
  </si>
  <si>
    <t xml:space="preserve">Q5_Opportunities</t>
  </si>
  <si>
    <t xml:space="preserve">Three product opportunities, verified competitor prices, Google Trends reading, and a break-even buying-cost calculator.</t>
  </si>
  <si>
    <t xml:space="preserve">Q6_Profitability</t>
  </si>
  <si>
    <t xml:space="preserve">Profit and margin on the $149.95 competitor-price scenario, with scenarios and break-even price.</t>
  </si>
  <si>
    <t xml:space="preserve">Q8_Sales</t>
  </si>
  <si>
    <t xml:space="preserve">Traffic, orders and conversion analysis for Jan-Apr.</t>
  </si>
  <si>
    <t xml:space="preserve">Q9_Funnel</t>
  </si>
  <si>
    <t xml:space="preserve">Four funnel conversion rates and the weakest stage.</t>
  </si>
  <si>
    <t xml:space="preserve">Sources</t>
  </si>
  <si>
    <t xml:space="preserve">Source register: every external fact used, with URL and access date.</t>
  </si>
  <si>
    <t xml:space="preserve">QA</t>
  </si>
  <si>
    <t xml:space="preserve">Automated cross-checks that recompute key numbers a second way.</t>
  </si>
  <si>
    <t xml:space="preserve">Method note</t>
  </si>
  <si>
    <t xml:space="preserve">Prices were read from each retailer's own product or search page on 8 Oct 2026 (Chrome). Prices change often. Where something could not be verified (for example delivery cost, which depends on postcode) the cell says so rather than guessing.</t>
  </si>
  <si>
    <t xml:space="preserve">Q1 - Basic Excel: profit and margin</t>
  </si>
  <si>
    <t xml:space="preserve">Source: product data supplied in the assessment document</t>
  </si>
  <si>
    <t xml:space="preserve">Product</t>
  </si>
  <si>
    <t xml:space="preserve">Cost Price</t>
  </si>
  <si>
    <t xml:space="preserve">Selling Price</t>
  </si>
  <si>
    <t xml:space="preserve">Profit ($)</t>
  </si>
  <si>
    <t xml:space="preserve">Profit Margin %</t>
  </si>
  <si>
    <t xml:space="preserve">Markup on cost %</t>
  </si>
  <si>
    <t xml:space="preserve">Margin rank</t>
  </si>
  <si>
    <t xml:space="preserve">$ profit rank</t>
  </si>
  <si>
    <t xml:space="preserve">Office Chair</t>
  </si>
  <si>
    <t xml:space="preserve">Storage Cabinet</t>
  </si>
  <si>
    <t xml:space="preserve">Garden Table</t>
  </si>
  <si>
    <t xml:space="preserve">Tool Box</t>
  </si>
  <si>
    <t xml:space="preserve">Bedside Table</t>
  </si>
  <si>
    <t xml:space="preserve">Highest profit margin %</t>
  </si>
  <si>
    <t xml:space="preserve">Highest $ profit per unit</t>
  </si>
  <si>
    <t xml:space="preserve">Lowest profit margin %</t>
  </si>
  <si>
    <t xml:space="preserve">Margin % = profit / selling price. Markup % = profit / cost. Both are before shipping, payment fees and marketing.</t>
  </si>
  <si>
    <t xml:space="preserve">Recommendation: prioritise Bedside Table first (best margin, and only $60 of cash tied up per unit); Garden Table second for the largest $ profit per sale. See the written answer for the reasoning and caveats.</t>
  </si>
  <si>
    <t xml:space="preserve">Q2 - Excel functions: working examples</t>
  </si>
  <si>
    <t xml:space="preserve">Sample order data below is made up for teaching purposes (not real sales). Product prices link to Q1.</t>
  </si>
  <si>
    <t xml:space="preserve">Order ID</t>
  </si>
  <si>
    <t xml:space="preserve">Qty</t>
  </si>
  <si>
    <t xml:space="preserve">Revenue ($)</t>
  </si>
  <si>
    <t xml:space="preserve">Region</t>
  </si>
  <si>
    <t xml:space="preserve">NSW</t>
  </si>
  <si>
    <t xml:space="preserve">VIC</t>
  </si>
  <si>
    <t xml:space="preserve">QLD</t>
  </si>
  <si>
    <t xml:space="preserve">Function</t>
  </si>
  <si>
    <t xml:space="preserve">Formula as typed</t>
  </si>
  <si>
    <t xml:space="preserve">Result (live)</t>
  </si>
  <si>
    <t xml:space="preserve">What it tells us</t>
  </si>
  <si>
    <t xml:space="preserve">SUM</t>
  </si>
  <si>
    <t xml:space="preserve">Add numbers</t>
  </si>
  <si>
    <t xml:space="preserve">=SUM(D5:D12)</t>
  </si>
  <si>
    <t xml:space="preserve">Total revenue across all orders</t>
  </si>
  <si>
    <t xml:space="preserve">AVERAGE</t>
  </si>
  <si>
    <t xml:space="preserve">Mean of a range</t>
  </si>
  <si>
    <t xml:space="preserve">=AVERAGE(D5:D12)</t>
  </si>
  <si>
    <t xml:space="preserve">Average order value</t>
  </si>
  <si>
    <t xml:space="preserve">IF</t>
  </si>
  <si>
    <t xml:space="preserve">Return one value if a test is true, another if not</t>
  </si>
  <si>
    <t xml:space="preserve">=IF(Q1_Profit!E9&gt;=0.35,"Keep - strong margin","Review pricing")</t>
  </si>
  <si>
    <t xml:space="preserve">Flags Bedside Table margin (from Q1) against a 35% target</t>
  </si>
  <si>
    <t xml:space="preserve">COUNTIF</t>
  </si>
  <si>
    <t xml:space="preserve">Count cells that meet one condition</t>
  </si>
  <si>
    <t xml:space="preserve">=COUNTIF(E5:E12,"NSW")</t>
  </si>
  <si>
    <t xml:space="preserve">Number of NSW orders</t>
  </si>
  <si>
    <t xml:space="preserve">VLOOKUP</t>
  </si>
  <si>
    <t xml:space="preserve">Find a value in the first column of a table and return a column to the right</t>
  </si>
  <si>
    <t xml:space="preserve">=VLOOKUP(B6,Q1_Profit!$A$5:$C$9,3,FALSE)</t>
  </si>
  <si>
    <t xml:space="preserve">Selling price of the product in order 1002 (Tool Box)</t>
  </si>
  <si>
    <t xml:space="preserve">INDEX + MATCH</t>
  </si>
  <si>
    <t xml:space="preserve">Same job as VLOOKUP but can look left and survives inserted columns</t>
  </si>
  <si>
    <t xml:space="preserve">=INDEX(Q1_Profit!$B$5:$B$9,MATCH(B8,Q1_Profit!$A$5:$A$9,0))</t>
  </si>
  <si>
    <t xml:space="preserve">Cost price of the product in order 1004 (Garden Table) - the cost column sits LEFT of the lookup column</t>
  </si>
  <si>
    <t xml:space="preserve">XLOOKUP</t>
  </si>
  <si>
    <t xml:space="preserve">Modern replacement for VLOOKUP/HLOOKUP: looks in any direction, exact match by default, has a built-in 'not found' argument</t>
  </si>
  <si>
    <t xml:space="preserve">=XLOOKUP(B6,Q1_Profit!$A$5:$A$9,Q1_Profit!$C$5:$C$9,"Not found")</t>
  </si>
  <si>
    <t xml:space="preserve">Typed text only</t>
  </si>
  <si>
    <t xml:space="preserve">Would return 69 (Tool Box selling price). Not evaluated here so the file also opens correctly in older Excel and LibreOffice; INDEX/MATCH above gives the same answer.</t>
  </si>
  <si>
    <t xml:space="preserve">Pivot Table (bonus): used when you need to summarise a long table by category, region or month without writing formulas, for example total revenue by product and region from thousands of order rows. See written answer.</t>
  </si>
  <si>
    <t xml:space="preserve">Q4 - Competitor research: OFFICE CHAIRS (15 verified records)</t>
  </si>
  <si>
    <t xml:space="preserve">Category chosen because all five retailers sell it online (checked 8 Oct 2026). 'Selling price' = price any shopper pays (Kogan: non-member price). Member price shown separately.</t>
  </si>
  <si>
    <t xml:space="preserve">ID</t>
  </si>
  <si>
    <t xml:space="preserve">Competitor</t>
  </si>
  <si>
    <t xml:space="preserve">Product / category</t>
  </si>
  <si>
    <t xml:space="preserve">Product name</t>
  </si>
  <si>
    <t xml:space="preserve">Brand / seller</t>
  </si>
  <si>
    <t xml:space="preserve">Chair type</t>
  </si>
  <si>
    <t xml:space="preserve">Selling price ($)</t>
  </si>
  <si>
    <t xml:space="preserve">Kogan member price ($)</t>
  </si>
  <si>
    <t xml:space="preserve">Original / RRP ($)</t>
  </si>
  <si>
    <t xml:space="preserve">Discount ($)</t>
  </si>
  <si>
    <t xml:space="preserve">Discount %</t>
  </si>
  <si>
    <t xml:space="preserve">Shipping information</t>
  </si>
  <si>
    <t xml:space="preserve">Rating (out of 5)</t>
  </si>
  <si>
    <t xml:space="preserve">No. of reviews</t>
  </si>
  <si>
    <t xml:space="preserve">Product URL</t>
  </si>
  <si>
    <t xml:space="preserve">Observation</t>
  </si>
  <si>
    <t xml:space="preserve">Date accessed</t>
  </si>
  <si>
    <t xml:space="preserve">Rating x reviews (helper)</t>
  </si>
  <si>
    <t xml:space="preserve">KM1</t>
  </si>
  <si>
    <t xml:space="preserve">Kmart</t>
  </si>
  <si>
    <t xml:space="preserve">Home office furniture / Office chairs</t>
  </si>
  <si>
    <t xml:space="preserve">Boucle Home Office Chair</t>
  </si>
  <si>
    <t xml:space="preserve">Kmart (own brand)</t>
  </si>
  <si>
    <t xml:space="preserve">Upholstered (boucle)</t>
  </si>
  <si>
    <t xml:space="preserve">n/a</t>
  </si>
  <si>
    <t xml:space="preserve">none shown</t>
  </si>
  <si>
    <t xml:space="preserve">Fulfilled &amp; delivered by Kmart (online only). Search page shows 'Free delivery on eligible items'; exact cost/eligibility for a postcode not verified.</t>
  </si>
  <si>
    <t xml:space="preserve">https://www.kmart.com.au/product/boucle-home-office-chair-43228386/</t>
  </si>
  <si>
    <t xml:space="preserve">Fashion-led home chair: gas lift, swivel, 100kg limit; no lumbar or tilt features listed. Highest rating of the Kmart set but only 12 reviews.</t>
  </si>
  <si>
    <t xml:space="preserve">KM2</t>
  </si>
  <si>
    <t xml:space="preserve">Sky Office Chair</t>
  </si>
  <si>
    <t xml:space="preserve">Faux leather (PU)</t>
  </si>
  <si>
    <t xml:space="preserve">no rating</t>
  </si>
  <si>
    <t xml:space="preserve">https://www.kmart.com.au/product/sky-office-chair-43682737/</t>
  </si>
  <si>
    <t xml:space="preserve">Cream PU, gas lift + manual seat-depth adjustment, 100kg. Shows a 'Bestseller' badge in search results despite 0 reviews, so the badge is not a review-based signal.</t>
  </si>
  <si>
    <t xml:space="preserve">KM3</t>
  </si>
  <si>
    <t xml:space="preserve">Alfordson Mesh Office Chair Executive Seat Tilt Gaming Racing Computer - Grey</t>
  </si>
  <si>
    <t xml:space="preserve">Alfordson / Aussie Union Group (marketplace)</t>
  </si>
  <si>
    <t xml:space="preserve">Mesh ergonomic</t>
  </si>
  <si>
    <t xml:space="preserve">Marketplace: sold &amp; shipped by Aussie Union Group. Delivery cost for a postcode not verified.</t>
  </si>
  <si>
    <t xml:space="preserve">https://www.kmart.com.au/product/alfordson-mesh-office-chair-executive-seat-tilt-gaming-racing-computer-grey-110049597/</t>
  </si>
  <si>
    <t xml:space="preserve">Headrest, lumbar support, tilt, 180kg limit, 1-yr warranty. Nearly half the price of Kmart's own chairs but only one review. Kmart shows no 'was' prices on these items.</t>
  </si>
  <si>
    <t xml:space="preserve">BN1</t>
  </si>
  <si>
    <t xml:space="preserve">Bunnings</t>
  </si>
  <si>
    <t xml:space="preserve">ALFORDSON Mesh Office Chair Dark Grey</t>
  </si>
  <si>
    <t xml:space="preserve">Marketplace, online only; sold &amp; delivered by seller (not available for Click &amp; Collect). Delivery estimate requires a postcode - not verified.</t>
  </si>
  <si>
    <t xml:space="preserve">https://www.bunnings.com.au/alfordson-mesh-office-chair-dark-grey_p0508818</t>
  </si>
  <si>
    <t xml:space="preserve">Lowest-priced Bunnings record; 27 reviews at 2.9 stars suggests quality concerns at this price.</t>
  </si>
  <si>
    <t xml:space="preserve">BN2</t>
  </si>
  <si>
    <t xml:space="preserve">ALFORDSON Office Chair White</t>
  </si>
  <si>
    <t xml:space="preserve">Not captured</t>
  </si>
  <si>
    <t xml:space="preserve">https://www.bunnings.com.au/alfordson-office-chair-white_p0477986</t>
  </si>
  <si>
    <t xml:space="preserve">Most-reviewed of the three (39). Search shows 978 office-chair results, almost all marketplace listings.</t>
  </si>
  <si>
    <t xml:space="preserve">BN3</t>
  </si>
  <si>
    <t xml:space="preserve">Artiss Black PU Leather Executive Office Chair</t>
  </si>
  <si>
    <t xml:space="preserve">Artiss / Arcadian Living (marketplace)</t>
  </si>
  <si>
    <t xml:space="preserve">Faux leather (PU) executive</t>
  </si>
  <si>
    <t xml:space="preserve">https://www.bunnings.com.au/artiss-black-pu-leather-executive-office-chair_p0215110</t>
  </si>
  <si>
    <t xml:space="preserve">Best-rated Bunnings record (4.4). A second listing of the same name (p0215116) is $115.77 at 2.9 stars (7 reviews), so near-identical listings can differ by $20.</t>
  </si>
  <si>
    <t xml:space="preserve">BW1</t>
  </si>
  <si>
    <t xml:space="preserve">Big W</t>
  </si>
  <si>
    <t xml:space="preserve">1 ALFORDSON Office Chair (Mesh, Conrad series)</t>
  </si>
  <si>
    <t xml:space="preserve">Marketplace, delivery only, online only; listing shows '+ delivery fee' (amount not verified). Site banner: free delivery on orders $59+ (standard metro) - not confirmed to apply to marketplace items.</t>
  </si>
  <si>
    <t xml:space="preserve">https://www.bigw.com.au/product/1-alfordson-office-chair/p/9900120141</t>
  </si>
  <si>
    <t xml:space="preserve">Price is unusually low for a chair; shown with 'SAVE $10.00' and 'Lowest price in 14 days'. Original price derived as price + $10 saving. One review only.</t>
  </si>
  <si>
    <t xml:space="preserve">BW2</t>
  </si>
  <si>
    <t xml:space="preserve">ALFORDSON Velvet Office Chair for Work Mid Back Grey</t>
  </si>
  <si>
    <t xml:space="preserve">Upholstered (velvet)</t>
  </si>
  <si>
    <t xml:space="preserve">https://www.bigw.com.au/product/alfordson-velvet-office-chair-for-work-mid-back-grey/p/9900116761</t>
  </si>
  <si>
    <t xml:space="preserve">'SAVE $15.00' badge. Original price derived as price + $15. Also carries a sponsored tag in search.</t>
  </si>
  <si>
    <t xml:space="preserve">BW3</t>
  </si>
  <si>
    <t xml:space="preserve">ALFORDSON Mesh Office Chair Racing Ergonomic Computer Chair All Black</t>
  </si>
  <si>
    <t xml:space="preserve">https://www.bigw.com.au/product/alfordson-mesh-office-chair-racing-ergonomic-computer-chair-all-black/p/9902748573</t>
  </si>
  <si>
    <t xml:space="preserve">No reviews yet. All three Big W records come from the same marketplace seller as the Kmart and Bunnings Alfordson records.</t>
  </si>
  <si>
    <t xml:space="preserve">KG1</t>
  </si>
  <si>
    <t xml:space="preserve">Kogan</t>
  </si>
  <si>
    <t xml:space="preserve">Ergolux Plus Ergonomic Mesh Office Chair with Footrest (Black)</t>
  </si>
  <si>
    <t xml:space="preserve">Ergolux (Kogan exclusive brand)</t>
  </si>
  <si>
    <t xml:space="preserve">Mesh ergonomic + footrest</t>
  </si>
  <si>
    <t xml:space="preserve">Product page showed 'Fast Dispatch' only; delivery fee not displayed in captured text. Kogan FIRST membership is offered ($129/yr after free trial).</t>
  </si>
  <si>
    <t xml:space="preserve">https://www.kogan.com/au/buy/ergolux-plus-ergonomic-mesh-office-chair-with-footrest-black-ergolux/</t>
  </si>
  <si>
    <t xml:space="preserve">Highest-reviewed Kogan item. Price is a three-tier structure: member $139, non-member $169, 'SRP' $349. The SRP is a reference price, not proof the chair ever sold at $349.</t>
  </si>
  <si>
    <t xml:space="preserve">KG2</t>
  </si>
  <si>
    <t xml:space="preserve">Ergolux Core Ergonomic Foam Office Chair (Black)</t>
  </si>
  <si>
    <t xml:space="preserve">Foam ergonomic</t>
  </si>
  <si>
    <t xml:space="preserve">https://www.kogan.com/au/buy/ergolux-core-ergonomic-foam-office-chair-black-ergolux/</t>
  </si>
  <si>
    <t xml:space="preserve">Entry model in the Ergolux range (Core / Plus / Elite). Member price is $39 below non-member price.</t>
  </si>
  <si>
    <t xml:space="preserve">KG3</t>
  </si>
  <si>
    <t xml:space="preserve">Levede Adjustable Armrest Office Mesh Gaming Chair Recliner</t>
  </si>
  <si>
    <t xml:space="preserve">Levede / Traderight (marketplace)</t>
  </si>
  <si>
    <t xml:space="preserve">Mesh gaming recliner</t>
  </si>
  <si>
    <t xml:space="preserve">Marketplace seller Traderight: leaves warehouse in 1-2 business days. Delivery fee not displayed in captured text.</t>
  </si>
  <si>
    <t xml:space="preserve">https://www.kogan.com/au/buy/sel-levede-office-chair-mesh-gaming-executive-tilt-chairs-computer-study-work-seat-of1040-bk/</t>
  </si>
  <si>
    <t xml:space="preserve">'Don't Pay' reference price $167.99 (a Kogan-displayed comparison price, not verified). No rating shown on the product page. Page notes 2 other offers from $106.74.</t>
  </si>
  <si>
    <t xml:space="preserve">TW1</t>
  </si>
  <si>
    <t xml:space="preserve">Temple &amp; Webster</t>
  </si>
  <si>
    <t xml:space="preserve">Kylian Executive Chair</t>
  </si>
  <si>
    <t xml:space="preserve">Living Fusion (T&amp;W brand)</t>
  </si>
  <si>
    <t xml:space="preserve">Executive (massage function listed)</t>
  </si>
  <si>
    <t xml:space="preserve">Delivery cost/time is calculated by postcode and was not shown on the product page - not verified. T&amp;W site promo: 15% off with code OCT15 (min spend $149), ends Monday - NOT included in price shown.</t>
  </si>
  <si>
    <t xml:space="preserve">https://www.templeandwebster.com.au/Kylian-Executive-Chair-OIKT1510.html</t>
  </si>
  <si>
    <t xml:space="preserve">Review breakdown: 148 five-star, 37 four-star, 11 three-star, 6 two-star, 4 one-star.</t>
  </si>
  <si>
    <t xml:space="preserve">TW2</t>
  </si>
  <si>
    <t xml:space="preserve">Naomi Mesh Office Chair</t>
  </si>
  <si>
    <t xml:space="preserve">HoxtonRoom (T&amp;W)</t>
  </si>
  <si>
    <t xml:space="preserve">https://www.templeandwebster.com.au/Naomi-Mesh-Office-Chair-ALFD1293.html</t>
  </si>
  <si>
    <t xml:space="preserve">Most-reviewed chair in the whole dataset (284) and mid-priced - the best-evidenced mesh chair here. Adjustable headrest, armrests, lumbar support.</t>
  </si>
  <si>
    <t xml:space="preserve">TW3</t>
  </si>
  <si>
    <t xml:space="preserve">Holly Boucle Office Chair</t>
  </si>
  <si>
    <t xml:space="preserve">Temple &amp; Webster (own brand)</t>
  </si>
  <si>
    <t xml:space="preserve">https://www.templeandwebster.com.au/Holly-Boucle-Office-Chair-TMPL6117.html</t>
  </si>
  <si>
    <t xml:space="preserve">Highest rating in the dataset (4.9 from 183 reviews) and the highest price. Style-led chair; compare with Kmart's $149 boucle chair, not with mesh chairs.</t>
  </si>
  <si>
    <t xml:space="preserve">Notes</t>
  </si>
  <si>
    <t xml:space="preserve">1. Comparability: these are NOT identical products. Compare within 'Chair type' (Q4_Summary does this for mesh chairs) rather than across all 15 rows.</t>
  </si>
  <si>
    <t xml:space="preserve">2. Discount % is calculated against the original/RRP shown on the retailer page. For Big W the original is derived (price + 'SAVE $x' badge). Kogan 'SRP' and 'Don't Pay' prices are reference prices and overstate real discounts.</t>
  </si>
  <si>
    <t xml:space="preserve">3. Kogan selling price uses the non-member price so it is comparable with retailers that do not require a membership. Member prices are in column H.</t>
  </si>
  <si>
    <t xml:space="preserve">4. Delivery costs depend on postcode and could not be verified without entering one, so they are not added to prices. Q10 explains how a fair delivered-price comparison would be done.</t>
  </si>
  <si>
    <t xml:space="preserve">5. 'Marketplace' items are sold by third-party sellers; Alfordson / Aussie Union Group appears on Kmart, Bunnings and Big W.</t>
  </si>
  <si>
    <t xml:space="preserve">6. Rating 'no rating' means the product page showed none (usually 0 reviews).</t>
  </si>
  <si>
    <t xml:space="preserve">Q4 - Analysis of collected data (all formulas read from Q4_Competitors)</t>
  </si>
  <si>
    <t xml:space="preserve">No. of products</t>
  </si>
  <si>
    <t xml:space="preserve">Lowest price</t>
  </si>
  <si>
    <t xml:space="preserve">Median price</t>
  </si>
  <si>
    <t xml:space="preserve">Highest price</t>
  </si>
  <si>
    <t xml:space="preserve">Average price</t>
  </si>
  <si>
    <t xml:space="preserve">Avg rating (simple, rated items)</t>
  </si>
  <si>
    <t xml:space="preserve">Total reviews</t>
  </si>
  <si>
    <t xml:space="preserve">Items with a 'was' price</t>
  </si>
  <si>
    <t xml:space="preserve">Review-weighted rating</t>
  </si>
  <si>
    <t xml:space="preserve">All 15 records</t>
  </si>
  <si>
    <t xml:space="preserve">Like-for-like: MESH ergonomic chairs only</t>
  </si>
  <si>
    <t xml:space="preserve">Product ID</t>
  </si>
  <si>
    <t xml:space="preserve">Price</t>
  </si>
  <si>
    <t xml:space="preserve">Rating</t>
  </si>
  <si>
    <t xml:space="preserve">Reviews</t>
  </si>
  <si>
    <t xml:space="preserve">Mesh chairs: lowest / median / highest</t>
  </si>
  <si>
    <t xml:space="preserve">(row 21: C = lowest, D = median, E = highest mesh-chair price)</t>
  </si>
  <si>
    <t xml:space="preserve">Discount behaviour (items with a 'was' price)</t>
  </si>
  <si>
    <t xml:space="preserve">Metric</t>
  </si>
  <si>
    <t xml:space="preserve">Value</t>
  </si>
  <si>
    <t xml:space="preserve">Average discount % where an original price is shown</t>
  </si>
  <si>
    <t xml:space="preserve">Largest discount %</t>
  </si>
  <si>
    <t xml:space="preserve">Items with no discount shown (of 15)</t>
  </si>
  <si>
    <t xml:space="preserve">Kogan avg discount % vs SRP (3 items)</t>
  </si>
  <si>
    <t xml:space="preserve">Big W avg discount % (3 items, 1 has none)</t>
  </si>
  <si>
    <t xml:space="preserve">Kogan member saving vs non-member price (avg $)</t>
  </si>
  <si>
    <t xml:space="preserve">Q5 - Product opportunities for During Days (Australia)</t>
  </si>
  <si>
    <t xml:space="preserve">Observed evidence = seen on a source page on 8 Oct 2026. Analyst inference = my judgement. Selling prices are inference, not supplier-based.</t>
  </si>
  <si>
    <t xml:space="preserve">Item</t>
  </si>
  <si>
    <t xml:space="preserve">1. Galvanised steel raised garden bed</t>
  </si>
  <si>
    <t xml:space="preserve">2. Cat tree / scratching tower (flat-pack)</t>
  </si>
  <si>
    <t xml:space="preserve">3. Lockable outdoor storage box (resin)</t>
  </si>
  <si>
    <t xml:space="preserve">Category</t>
  </si>
  <si>
    <t xml:space="preserve">Garden / outdoor structures</t>
  </si>
  <si>
    <t xml:space="preserve">Pet furniture (new adjacent category)</t>
  </si>
  <si>
    <t xml:space="preserve">Outdoor storage</t>
  </si>
  <si>
    <t xml:space="preserve">Current market price range (verified examples)</t>
  </si>
  <si>
    <t xml:space="preserve">$69 (Bunnings Jack 160x80cm) to $84.95 (T&amp;W Gordo, from $84.95; its page shows a $84.95-$124 range across options)</t>
  </si>
  <si>
    <t xml:space="preserve">$42.85 (Kogan Beastie 104cm) to $150.99 (Kogan PaWz 138cm); Bunnings Alopet 142cm $82.43; Kmart Advwin 84cm $44.90</t>
  </si>
  <si>
    <t xml:space="preserve">$59 (Keter 113L) to $339 (Keter 570L); mainstream 290L at $77-$82 (Bunnings marketplace, Kogan); Keter 350L $179</t>
  </si>
  <si>
    <t xml:space="preserve">Approx. selling price today (median of verified examples below)</t>
  </si>
  <si>
    <t xml:space="preserve">Potential During Days selling price (inference)</t>
  </si>
  <si>
    <t xml:space="preserve">$89-$129 for 240cm / taller or modular beds</t>
  </si>
  <si>
    <t xml:space="preserve">$79-$99 for 120-145cm 'furniture-style' towers</t>
  </si>
  <si>
    <t xml:space="preserve">$119-$149 for 330-390L with gas struts / wheels</t>
  </si>
  <si>
    <t xml:space="preserve">Why selected</t>
  </si>
  <si>
    <t xml:space="preserve">Strong seasonal pull (spring peak in Google Trends), sells across Bunnings, T&amp;W and Kogan, easy to differentiate by size/height/bundle, review volume on T&amp;W is high (217 reviews).</t>
  </si>
  <si>
    <t xml:space="preserve">Highest and rising search interest of the three (Google Trends 5-yr average about 52 vs 29 and 21), fast-growing online pet spend, sits near During Days' furniture skills; very wide price spread shows room for a design-led mid-price range.</t>
  </si>
  <si>
    <t xml:space="preserve">Proven demand on trusted brands (Keter 350L: 61 reviews; 570L: 140; Lifetime 567L: 350 reviews at Bunnings), adjacent to garden/outdoor range, lockable/weatherproof features are easy to explain.</t>
  </si>
  <si>
    <t xml:space="preserve">Evidence of demand - OBSERVED</t>
  </si>
  <si>
    <t xml:space="preserve">Google Trends AU, 5 yrs: 'raised garden bed' average index about 29 (relative), clear spring peaks. Australia Post: Home &amp; Garden online spend $9.9b in 2025 (+9.9%), 5.1m households. T&amp;W Gordo 4.6 stars (217 reviews); Bunnings Jack 4.0 (24).</t>
  </si>
  <si>
    <t xml:space="preserve">Google Trends AU, 5 yrs: 'cat tree' average index about 52 (highest of three) with recent peaks near 100. Australia Post: Pet products online spend $1.4b in 2025 (+15.2%), 1.2m households, 37% of category spend online. Listed by Kogan (several), Bunnings marketplace and Kmart marketplace.</t>
  </si>
  <si>
    <t xml:space="preserve">Bunnings category page carries 100s of reviews on Keter/Lifetime lines (see table below). Google Trends 'outdoor storage box' is the lowest of the three (average about 21). Kogan Gardeon 290L has 24 reviews at 4.0.</t>
  </si>
  <si>
    <t xml:space="preserve">Evidence - ANALYST INFERENCE</t>
  </si>
  <si>
    <t xml:space="preserve">Demand is seasonal (Aug-Nov peak), so launch stock must land before September. Buyers compare on size and steel thickness.</t>
  </si>
  <si>
    <t xml:space="preserve">Review volume on verified listings is low (0-5), so search interest may not yet translate to many sales per listing; treat as a test range. Quality/stability claims will matter.</t>
  </si>
  <si>
    <t xml:space="preserve">Price pressure from 290L boxes at ~$77-82 means During Days should avoid the 290L tier and compete on bigger/better-featured boxes.</t>
  </si>
  <si>
    <t xml:space="preserve">Major competitors</t>
  </si>
  <si>
    <t xml:space="preserve">Bunnings, Temple &amp; Webster (Living Fusion), Kogan marketplace sellers, Amazon AU sellers</t>
  </si>
  <si>
    <t xml:space="preserve">Kogan (PaWz, Beastie), Bunnings and Kmart marketplace sellers, Amazon AU</t>
  </si>
  <si>
    <t xml:space="preserve">Bunnings (Keter, Lifetime), Kogan (Gardeon), Big W / Bunnings marketplace, Amazon AU</t>
  </si>
  <si>
    <t xml:space="preserve">Key risk / limitation</t>
  </si>
  <si>
    <t xml:space="preserve">Commodity pricing, thin-steel quality complaints, bulky cartons raise courier cost, seasonal.</t>
  </si>
  <si>
    <t xml:space="preserve">New customer segment (pets), stability/return risk, low verified review depth.</t>
  </si>
  <si>
    <t xml:space="preserve">Bulky freight cost, UV warping complaints, Keter brand trust at Bunnings.</t>
  </si>
  <si>
    <t xml:space="preserve">Verified competitor examples (read from the product/category page on 8 Oct 2026)</t>
  </si>
  <si>
    <t xml:space="preserve">Product idea</t>
  </si>
  <si>
    <t xml:space="preserve">Retailer / item</t>
  </si>
  <si>
    <t xml:space="preserve">Price ($)</t>
  </si>
  <si>
    <t xml:space="preserve">Was / ref price ($)</t>
  </si>
  <si>
    <t xml:space="preserve">URL</t>
  </si>
  <si>
    <t xml:space="preserve">Raised bed</t>
  </si>
  <si>
    <t xml:space="preserve">Bunnings - Jack 1600 x 800mm Rectangular Raised Garden Bed</t>
  </si>
  <si>
    <t xml:space="preserve">https://www.bunnings.com.au/jack-1600-x-800mm-rectangular-raised-garden-bed_p0807491</t>
  </si>
  <si>
    <t xml:space="preserve">Temple &amp; Webster - Living Fusion Gordo Galvanised Steel Raised Garden Bed (from $84.95; page shows a $84.95-$124 range across size/colour options, not a was-price)</t>
  </si>
  <si>
    <t xml:space="preserve">https://www.templeandwebster.com.au/Gordo-Galvanised-Steel-Raised-Garden-Bed-OIKT1274.html</t>
  </si>
  <si>
    <t xml:space="preserve">Cat tree</t>
  </si>
  <si>
    <t xml:space="preserve">Kogan - PaWz Wooden Cat Tree with Condo 138cm (non-member; member $128.99)</t>
  </si>
  <si>
    <t xml:space="preserve">https://www.kogan.com/au/buy/sel-pawz-cat-tree-scratching-post-scratcher-cats-tower-wood-condo-toys-house-138cm-pt1155/</t>
  </si>
  <si>
    <t xml:space="preserve">Kogan - BEASTIE Cat Tree Tower 104cm (non-member; member $39.75)</t>
  </si>
  <si>
    <t xml:space="preserve">https://www.kogan.com/au/buy/aussie-union-group-beastie-cat-tree-tower-scratching-post-black-104cm-kgv_a-cat-e-4st-104-bk/</t>
  </si>
  <si>
    <t xml:space="preserve">Bunnings marketplace - Alopet 142cm Cat Tree Tower</t>
  </si>
  <si>
    <t xml:space="preserve">https://www.bunnings.com.au/alopet-142cm-cat-tree-tower-scratching-post-scratcher_p0520575</t>
  </si>
  <si>
    <t xml:space="preserve">Kmart marketplace - Advwin Cat Scratching Post Cat Tree</t>
  </si>
  <si>
    <t xml:space="preserve">https://www.kmart.com.au/product/advwin-cat-scratching-post-cat-tree-110009500/</t>
  </si>
  <si>
    <t xml:space="preserve">Storage box</t>
  </si>
  <si>
    <t xml:space="preserve">Kogan - Gardeon Outdoor Storage Box 290L Lockable (non-member; member $79.41)</t>
  </si>
  <si>
    <t xml:space="preserve">https://www.kogan.com/au/buy/290l-plastic-outdoor-storage-box-container-weatherproof-black-home-furniture/</t>
  </si>
  <si>
    <t xml:space="preserve">Bunnings - Keter 113L Graphite City Outdoor Storage Box</t>
  </si>
  <si>
    <t xml:space="preserve">https://www.bunnings.com.au/products/outdoor-living/outdoor-furniture/outdoor-storage/outdoor-storage-boxes</t>
  </si>
  <si>
    <t xml:space="preserve">Bunnings - Keter 350L Kentwood Storage Box</t>
  </si>
  <si>
    <t xml:space="preserve">Bunnings - Keter 570L Rockwood Storage Box</t>
  </si>
  <si>
    <t xml:space="preserve">Bunnings - Lifetime 567L Tirari Storage Box</t>
  </si>
  <si>
    <t xml:space="preserve">Bunnings marketplace - Relaxio 290L Lockable Organiser (delivery included)</t>
  </si>
  <si>
    <t xml:space="preserve">Price check from the verified examples (formulas)</t>
  </si>
  <si>
    <t xml:space="preserve">Lowest verified price</t>
  </si>
  <si>
    <t xml:space="preserve">Highest verified price</t>
  </si>
  <si>
    <t xml:space="preserve">Median verified price</t>
  </si>
  <si>
    <t xml:space="preserve">Break-even buying-cost calculator (no supplier quotes were available - assumptions in blue, replace with real quotes)</t>
  </si>
  <si>
    <t xml:space="preserve">Assumption</t>
  </si>
  <si>
    <t xml:space="preserve">Note</t>
  </si>
  <si>
    <t xml:space="preserve">Payment/transaction fee %</t>
  </si>
  <si>
    <t xml:space="preserve">Same 3% as Q6</t>
  </si>
  <si>
    <t xml:space="preserve">Marketing cost per order ($)</t>
  </si>
  <si>
    <t xml:space="preserve">Same $10 as Q6</t>
  </si>
  <si>
    <t xml:space="preserve">Outbound shipping per order ($)</t>
  </si>
  <si>
    <t xml:space="preserve">ASSUMPTION for bulky flat-pack items; Q6's $8 was for a smaller item. Replace with a courier quote.</t>
  </si>
  <si>
    <t xml:space="preserve">Target net margin %</t>
  </si>
  <si>
    <t xml:space="preserve">Analyst target, not given in the assessment</t>
  </si>
  <si>
    <t xml:space="preserve">Assumed selling price ($)</t>
  </si>
  <si>
    <t xml:space="preserve">Max landed cost per unit that still gives target margin ($)</t>
  </si>
  <si>
    <t xml:space="preserve">Net profit per unit at that cost ($)</t>
  </si>
  <si>
    <t xml:space="preserve">Raised garden bed</t>
  </si>
  <si>
    <t xml:space="preserve">Outdoor storage box (330-390L)</t>
  </si>
  <si>
    <t xml:space="preserve">Reading: 'landed cost' = product + inbound freight + duty/GST handling per unit. If a supplier cannot deliver at or below column C, the product misses the target margin at that price.</t>
  </si>
  <si>
    <t xml:space="preserve">Q6 - Competitor price analysis</t>
  </si>
  <si>
    <t xml:space="preserve">Inputs from the assessment (blue). Everything else is a formula.</t>
  </si>
  <si>
    <t xml:space="preserve">Input</t>
  </si>
  <si>
    <t xml:space="preserve">Product cost ($)</t>
  </si>
  <si>
    <t xml:space="preserve">Payment / transaction cost %</t>
  </si>
  <si>
    <t xml:space="preserve">Shipping cost per order ($)</t>
  </si>
  <si>
    <t xml:space="preserve">Result</t>
  </si>
  <si>
    <t xml:space="preserve">How calculated</t>
  </si>
  <si>
    <t xml:space="preserve">1. Gross dollar profit (before other costs)</t>
  </si>
  <si>
    <t xml:space="preserve">Selling price - product cost</t>
  </si>
  <si>
    <t xml:space="preserve">2. Gross profit margin</t>
  </si>
  <si>
    <t xml:space="preserve">Gross profit / selling price</t>
  </si>
  <si>
    <t xml:space="preserve">Payment / transaction cost ($)</t>
  </si>
  <si>
    <t xml:space="preserve">3% x selling price</t>
  </si>
  <si>
    <t xml:space="preserve">Shipping ($)</t>
  </si>
  <si>
    <t xml:space="preserve">Given</t>
  </si>
  <si>
    <t xml:space="preserve">Marketing allocation ($)</t>
  </si>
  <si>
    <t xml:space="preserve">Total listed costs ($)</t>
  </si>
  <si>
    <t xml:space="preserve">Payment + shipping + marketing</t>
  </si>
  <si>
    <t xml:space="preserve">3. Profit after listed costs ($)</t>
  </si>
  <si>
    <t xml:space="preserve">Gross profit - listed costs</t>
  </si>
  <si>
    <t xml:space="preserve">4. Net margin after listed costs</t>
  </si>
  <si>
    <t xml:space="preserve">Profit after costs / selling price</t>
  </si>
  <si>
    <t xml:space="preserve">Independent check (different route)</t>
  </si>
  <si>
    <t xml:space="preserve">Profit = price x (1 - 3%) - cost - shipping - marketing</t>
  </si>
  <si>
    <t xml:space="preserve">Break-even and target prices</t>
  </si>
  <si>
    <t xml:space="preserve">Question</t>
  </si>
  <si>
    <t xml:space="preserve">Price where profit after listed costs = $0</t>
  </si>
  <si>
    <t xml:space="preserve">(cost + shipping + marketing) / (1 - payment %)</t>
  </si>
  <si>
    <t xml:space="preserve">Target net margin</t>
  </si>
  <si>
    <t xml:space="preserve">Analyst assumption (not in the assessment)</t>
  </si>
  <si>
    <t xml:space="preserve">Price needed to hit the target net margin</t>
  </si>
  <si>
    <t xml:space="preserve">(cost + shipping + marketing) / (1 - payment % - target margin)</t>
  </si>
  <si>
    <t xml:space="preserve">Product cost needed to hit target at $149.95</t>
  </si>
  <si>
    <t xml:space="preserve">Price x (1 - payment % - target) - shipping - marketing</t>
  </si>
  <si>
    <t xml:space="preserve">Price scenarios</t>
  </si>
  <si>
    <t xml:space="preserve">Profit after costs ($)</t>
  </si>
  <si>
    <t xml:space="preserve">Net margin</t>
  </si>
  <si>
    <t xml:space="preserve">GST sensitivity (assumption)</t>
  </si>
  <si>
    <t xml:space="preserve">GST rate</t>
  </si>
  <si>
    <t xml:space="preserve">Australian retail prices are normally GST-inclusive. The assessment does not say, so the main answer ignores GST.</t>
  </si>
  <si>
    <t xml:space="preserve">Profit after listed costs if $149.95 includes GST ($)</t>
  </si>
  <si>
    <t xml:space="preserve">Assumes the $110 cost and the other costs are GST-free amounts. If true, the product is close to break-even.</t>
  </si>
  <si>
    <t xml:space="preserve">Net margin on GST-exclusive revenue</t>
  </si>
  <si>
    <t xml:space="preserve">Q8 - Data investigation: monthly sales</t>
  </si>
  <si>
    <t xml:space="preserve">Inputs from the assessment (blue). Derived columns are formulas.</t>
  </si>
  <si>
    <t xml:space="preserve">Month</t>
  </si>
  <si>
    <t xml:space="preserve">Visitors</t>
  </si>
  <si>
    <t xml:space="preserve">Orders</t>
  </si>
  <si>
    <t xml:space="preserve">Sales ($)</t>
  </si>
  <si>
    <t xml:space="preserve">Conversion rate</t>
  </si>
  <si>
    <t xml:space="preserve">Average order value ($)</t>
  </si>
  <si>
    <t xml:space="preserve">Revenue per visitor ($)</t>
  </si>
  <si>
    <t xml:space="preserve">Visitors MoM %</t>
  </si>
  <si>
    <t xml:space="preserve">Orders MoM %</t>
  </si>
  <si>
    <t xml:space="preserve">Sales MoM %</t>
  </si>
  <si>
    <t xml:space="preserve">Conv. rate change (pts)</t>
  </si>
  <si>
    <t xml:space="preserve">January</t>
  </si>
  <si>
    <t xml:space="preserve">-</t>
  </si>
  <si>
    <t xml:space="preserve">February</t>
  </si>
  <si>
    <t xml:space="preserve">March</t>
  </si>
  <si>
    <t xml:space="preserve">April</t>
  </si>
  <si>
    <t xml:space="preserve">Jan -&gt; Apr change</t>
  </si>
  <si>
    <t xml:space="preserve">Jan -&gt; Apr absolute change</t>
  </si>
  <si>
    <t xml:space="preserve">Incremental view (Jan -&gt; Apr)</t>
  </si>
  <si>
    <t xml:space="preserve">Extra visitors</t>
  </si>
  <si>
    <t xml:space="preserve">Extra orders</t>
  </si>
  <si>
    <t xml:space="preserve">Extra visitors needed per extra order</t>
  </si>
  <si>
    <t xml:space="preserve">Conversion of the extra visitors only</t>
  </si>
  <si>
    <t xml:space="preserve">Orders April would have if Jan's conversion held</t>
  </si>
  <si>
    <t xml:space="preserve">Orders 'missing' vs Jan conversion</t>
  </si>
  <si>
    <t xml:space="preserve">Value of those missing orders at April AOV ($)</t>
  </si>
  <si>
    <t xml:space="preserve">What the data shows: traffic doubled (+100%), orders and sales rose only 5%, conversion fell from 2.00% to 1.05%, and average order value stayed at exactly $150 every month. The extra traffic is not buying.</t>
  </si>
  <si>
    <t xml:space="preserve">What might explain it (needs more data): lower-quality traffic from a new/paid channel, a site or checkout problem, stock-outs, or changed pricing/promotions.</t>
  </si>
  <si>
    <t xml:space="preserve">Q9 - Funnel analysis</t>
  </si>
  <si>
    <t xml:space="preserve">Counts from the assessment (blue). Rates are formulas.</t>
  </si>
  <si>
    <t xml:space="preserve">Stage</t>
  </si>
  <si>
    <t xml:space="preserve">Count</t>
  </si>
  <si>
    <t xml:space="preserve">Website visits</t>
  </si>
  <si>
    <t xml:space="preserve">Product-page views</t>
  </si>
  <si>
    <t xml:space="preserve">Add-to-carts</t>
  </si>
  <si>
    <t xml:space="preserve">Purchases</t>
  </si>
  <si>
    <t xml:space="preserve">Conversion</t>
  </si>
  <si>
    <t xml:space="preserve">Numerator</t>
  </si>
  <si>
    <t xml:space="preserve">Denominator</t>
  </si>
  <si>
    <t xml:space="preserve">Rate</t>
  </si>
  <si>
    <t xml:space="preserve">Drop-off %</t>
  </si>
  <si>
    <t xml:space="preserve">People lost</t>
  </si>
  <si>
    <t xml:space="preserve">1. Visit -&gt; Product page</t>
  </si>
  <si>
    <t xml:space="preserve">2. Product page -&gt; Add to cart</t>
  </si>
  <si>
    <t xml:space="preserve">3. Add to cart -&gt; Purchase</t>
  </si>
  <si>
    <t xml:space="preserve">4. Visit -&gt; Purchase (overall)</t>
  </si>
  <si>
    <t xml:space="preserve">Weakest stage (lowest rate among stages 1-3)</t>
  </si>
  <si>
    <t xml:space="preserve">Check: product of the three stage rates equals overall rate</t>
  </si>
  <si>
    <t xml:space="preserve">Overall conversion (0.20%) is not the same thing as a stage conversion: it is the product of all three stages (5% x 20% x 20%).</t>
  </si>
  <si>
    <t xml:space="preserve">Source register</t>
  </si>
  <si>
    <t xml:space="preserve">All accessed 8 Oct 2026 unless stated. 'Opened' = read on the live page by me; 'Fetched' = read via the page-fetch tool.</t>
  </si>
  <si>
    <t xml:space="preserve">Evidence class: PRIMARY = read on the original page or official report. SECONDARY = a third party reporting someone else's figure. No figure in the answers rests on a search snippet alone. Potential selling prices and risk statements in Q5 are analyst INFERENCE and are labelled as such in the answers.</t>
  </si>
  <si>
    <t xml:space="preserve">Source ID</t>
  </si>
  <si>
    <t xml:space="preserve">Competitor / item</t>
  </si>
  <si>
    <t xml:space="preserve">Claim / data point</t>
  </si>
  <si>
    <t xml:space="preserve">Source type</t>
  </si>
  <si>
    <t xml:space="preserve">Access date</t>
  </si>
  <si>
    <t xml:space="preserve">Evidence class</t>
  </si>
  <si>
    <t xml:space="preserve">S01</t>
  </si>
  <si>
    <t xml:space="preserve">Q4</t>
  </si>
  <si>
    <t xml:space="preserve">Kmart - Boucle Home Office Chair</t>
  </si>
  <si>
    <t xml:space="preserve">Price 149; rating 4.7; reviews 12</t>
  </si>
  <si>
    <t xml:space="preserve">Retailer product page (opened in Chrome)</t>
  </si>
  <si>
    <t xml:space="preserve">PRIMARY</t>
  </si>
  <si>
    <t xml:space="preserve">S02</t>
  </si>
  <si>
    <t xml:space="preserve">Kmart - Sky Office Chair</t>
  </si>
  <si>
    <t xml:space="preserve">Price 149; rating None; reviews 0</t>
  </si>
  <si>
    <t xml:space="preserve">S03</t>
  </si>
  <si>
    <t xml:space="preserve">Kmart - Alfordson Mesh Office Chair Executive Seat Tilt Gaming Racin</t>
  </si>
  <si>
    <t xml:space="preserve">Price 79.85; rating 5.0; reviews 1</t>
  </si>
  <si>
    <t xml:space="preserve">S04</t>
  </si>
  <si>
    <t xml:space="preserve">Bunnings - ALFORDSON Mesh Office Chair Dark Grey</t>
  </si>
  <si>
    <t xml:space="preserve">Price 59.85; rating 2.9; reviews 27</t>
  </si>
  <si>
    <t xml:space="preserve">S05</t>
  </si>
  <si>
    <t xml:space="preserve">Bunnings - ALFORDSON Office Chair White</t>
  </si>
  <si>
    <t xml:space="preserve">Price 109.85; rating 3.9; reviews 39</t>
  </si>
  <si>
    <t xml:space="preserve">S06</t>
  </si>
  <si>
    <t xml:space="preserve">Bunnings - Artiss Black PU Leather Executive Office Chair</t>
  </si>
  <si>
    <t xml:space="preserve">Price 135.66; rating 4.4; reviews 26</t>
  </si>
  <si>
    <t xml:space="preserve">S07</t>
  </si>
  <si>
    <t xml:space="preserve">Big W - 1 ALFORDSON Office Chair (Mesh, Conrad series)</t>
  </si>
  <si>
    <t xml:space="preserve">Price 24.85; rating 3.0; reviews 1</t>
  </si>
  <si>
    <t xml:space="preserve">S08</t>
  </si>
  <si>
    <t xml:space="preserve">Big W - ALFORDSON Velvet Office Chair for Work Mid Back Grey</t>
  </si>
  <si>
    <t xml:space="preserve">Price 114.85; rating 5.0; reviews 1</t>
  </si>
  <si>
    <t xml:space="preserve">S09</t>
  </si>
  <si>
    <t xml:space="preserve">Big W - ALFORDSON Mesh Office Chair Racing Ergonomic Computer Chair </t>
  </si>
  <si>
    <t xml:space="preserve">Price 64.85; rating None; reviews 0</t>
  </si>
  <si>
    <t xml:space="preserve">S10</t>
  </si>
  <si>
    <t xml:space="preserve">Kogan - Ergolux Plus Ergonomic Mesh Office Chair with Footrest (Blac</t>
  </si>
  <si>
    <t xml:space="preserve">Price 169; rating 4.3; reviews 128</t>
  </si>
  <si>
    <t xml:space="preserve">S11</t>
  </si>
  <si>
    <t xml:space="preserve">Kogan - Ergolux Core Ergonomic Foam Office Chair (Black)</t>
  </si>
  <si>
    <t xml:space="preserve">Price 139; rating 3.7; reviews 13</t>
  </si>
  <si>
    <t xml:space="preserve">S12</t>
  </si>
  <si>
    <t xml:space="preserve">Kogan - Levede Adjustable Armrest Office Mesh Gaming Chair Recliner</t>
  </si>
  <si>
    <t xml:space="preserve">Price 83.99; rating None; reviews 0</t>
  </si>
  <si>
    <t xml:space="preserve">S13</t>
  </si>
  <si>
    <t xml:space="preserve">Temple &amp; Webster - Kylian Executive Chair</t>
  </si>
  <si>
    <t xml:space="preserve">Price 179; rating 4.5; reviews 206</t>
  </si>
  <si>
    <t xml:space="preserve">S14</t>
  </si>
  <si>
    <t xml:space="preserve">Temple &amp; Webster - Naomi Mesh Office Chair</t>
  </si>
  <si>
    <t xml:space="preserve">Price 99.95; rating 4.4; reviews 284</t>
  </si>
  <si>
    <t xml:space="preserve">S15</t>
  </si>
  <si>
    <t xml:space="preserve">Temple &amp; Webster - Holly Boucle Office Chair</t>
  </si>
  <si>
    <t xml:space="preserve">Price 219; rating 4.9; reviews 183</t>
  </si>
  <si>
    <t xml:space="preserve">S16</t>
  </si>
  <si>
    <t xml:space="preserve">Search results with Bestseller badges (office chair)</t>
  </si>
  <si>
    <t xml:space="preserve">https://www.kmart.com.au/search/?searchTerm=office%20chair</t>
  </si>
  <si>
    <t xml:space="preserve">Retailer search page</t>
  </si>
  <si>
    <t xml:space="preserve">S17</t>
  </si>
  <si>
    <t xml:space="preserve">978 results for office chair; all three records listed with price/ratings</t>
  </si>
  <si>
    <t xml:space="preserve">https://www.bunnings.com.au/search/products?q=office%20chair</t>
  </si>
  <si>
    <t xml:space="preserve">S18</t>
  </si>
  <si>
    <t xml:space="preserve">Search listing; homepage delivery banner (free delivery $59+)</t>
  </si>
  <si>
    <t xml:space="preserve">https://www.bigw.com.au/search?text=office+chair</t>
  </si>
  <si>
    <t xml:space="preserve">S19</t>
  </si>
  <si>
    <t xml:space="preserve">Office chairs category listing</t>
  </si>
  <si>
    <t xml:space="preserve">https://www.kogan.com/au/shop/category/home-garden-3804/office-chairs/</t>
  </si>
  <si>
    <t xml:space="preserve">Retailer category page</t>
  </si>
  <si>
    <t xml:space="preserve">S20</t>
  </si>
  <si>
    <t xml:space="preserve">Office chairs category listing and OCT15 promo</t>
  </si>
  <si>
    <t xml:space="preserve">https://www.templeandwebster.com.au/Office-Chairs-C1812704.html</t>
  </si>
  <si>
    <t xml:space="preserve">S21</t>
  </si>
  <si>
    <t xml:space="preserve">Q5</t>
  </si>
  <si>
    <t xml:space="preserve">Price $69</t>
  </si>
  <si>
    <t xml:space="preserve">Retailer product/category page (opened in Chrome)</t>
  </si>
  <si>
    <t xml:space="preserve">S22</t>
  </si>
  <si>
    <t xml:space="preserve">Price $84.95</t>
  </si>
  <si>
    <t xml:space="preserve">S23</t>
  </si>
  <si>
    <t xml:space="preserve">Price $150.99</t>
  </si>
  <si>
    <t xml:space="preserve">S24</t>
  </si>
  <si>
    <t xml:space="preserve">Price $42.85</t>
  </si>
  <si>
    <t xml:space="preserve">S25</t>
  </si>
  <si>
    <t xml:space="preserve">Price $82.43</t>
  </si>
  <si>
    <t xml:space="preserve">S26</t>
  </si>
  <si>
    <t xml:space="preserve">Price $44.9</t>
  </si>
  <si>
    <t xml:space="preserve">S27</t>
  </si>
  <si>
    <t xml:space="preserve">Price $81.95</t>
  </si>
  <si>
    <t xml:space="preserve">S28</t>
  </si>
  <si>
    <t xml:space="preserve">Price $59</t>
  </si>
  <si>
    <t xml:space="preserve">S29</t>
  </si>
  <si>
    <t xml:space="preserve">Price $179</t>
  </si>
  <si>
    <t xml:space="preserve">S30</t>
  </si>
  <si>
    <t xml:space="preserve">Price $339</t>
  </si>
  <si>
    <t xml:space="preserve">S31</t>
  </si>
  <si>
    <t xml:space="preserve">Price $255</t>
  </si>
  <si>
    <t xml:space="preserve">S32</t>
  </si>
  <si>
    <t xml:space="preserve">Price $77.16</t>
  </si>
  <si>
    <t xml:space="preserve">S33</t>
  </si>
  <si>
    <t xml:space="preserve">Google Trends AU</t>
  </si>
  <si>
    <t xml:space="preserve">5-year comparison: raised garden bed vs outdoor storage box vs cat tree (relative index; averages about 29 / 21 / 52 read from the chart)</t>
  </si>
  <si>
    <t xml:space="preserve">https://trends.google.com/trends/explore?date=today%205-y&amp;geo=AU&amp;q=raised%20garden%20bed,outdoor%20storage%20box,cat%20tree&amp;hl=en-AU</t>
  </si>
  <si>
    <t xml:space="preserve">Google Trends (opened in Chrome)</t>
  </si>
  <si>
    <t xml:space="preserve">Averages read visually from the chart; Trends shows relative search interest, not sales.</t>
  </si>
  <si>
    <t xml:space="preserve">S34</t>
  </si>
  <si>
    <t xml:space="preserve">Q5/Q7</t>
  </si>
  <si>
    <t xml:space="preserve">Australia Post - Home &amp; Garden</t>
  </si>
  <si>
    <t xml:space="preserve">$9.9b online in 2025, +9.9% YoY; 5.1m households; $286.77 basket; 26% of category spend online; 36% of sale-waiters hold out for H&amp;G discounts</t>
  </si>
  <si>
    <t xml:space="preserve">https://auspost.com.au/content/dam/auspost_corp/media/documents/australia-post-ecommerce-report-2026-home-garden.pdf</t>
  </si>
  <si>
    <t xml:space="preserve">Official industry report (fetched)</t>
  </si>
  <si>
    <t xml:space="preserve">Three press/industry-blog articles (S35-S37) quote $11.4b for Home &amp; Garden and attribute it to the main report. Not reconciled, so the $9.9b read in this PDF is used and the conflict is stated in the answers. The PDF itself credits CommBank iQ and points to p.38 of the main report, which was not opened.</t>
  </si>
  <si>
    <t xml:space="preserve">S35</t>
  </si>
  <si>
    <t xml:space="preserve">Press: Parcel &amp; Postal Technology International</t>
  </si>
  <si>
    <t xml:space="preserve">Quotes Home &amp; Garden online spend A$11.4bn (2025) from the Australia Post report; Fashion A$11.6bn</t>
  </si>
  <si>
    <t xml:space="preserve">https://www.parcelandpostaltechnologyinternational.com/news/e-commerce/australian-online-spending-reaches-a82-6bn-in-2025.html</t>
  </si>
  <si>
    <t xml:space="preserve">Trade press article (fetched)</t>
  </si>
  <si>
    <t xml:space="preserve">Secondary source; conflicts with the $9.9b in the category PDF (S34).</t>
  </si>
  <si>
    <t xml:space="preserve">SECONDARY</t>
  </si>
  <si>
    <t xml:space="preserve">S36</t>
  </si>
  <si>
    <t xml:space="preserve">Press: IPC (International Post Corporation)</t>
  </si>
  <si>
    <t xml:space="preserve">Quotes Home and Garden $11.4 billion; Online Marketplaces $18.9b; Fashion $11.6b</t>
  </si>
  <si>
    <t xml:space="preserve">https://www.ipc.be/news-portal/e-commerce/2026/03/18/16/03/aussies-add-82-6-billion-to-cart</t>
  </si>
  <si>
    <t xml:space="preserve">Secondary source; conflicts with S34.</t>
  </si>
  <si>
    <t xml:space="preserve">S37</t>
  </si>
  <si>
    <t xml:space="preserve">Blog: eightx.co</t>
  </si>
  <si>
    <t xml:space="preserve">Lists Home &amp; Garden $11.4B, +10.5% YoY, citing the Australia Post 2026 report</t>
  </si>
  <si>
    <t xml:space="preserve">https://eightx.co/blog/australian-online-retail-category-share-2026</t>
  </si>
  <si>
    <t xml:space="preserve">Industry blog (fetched)</t>
  </si>
  <si>
    <t xml:space="preserve">Secondary source; weakest of the three. Conflicts with S34 on both value and growth (+10.5% vs +9.9%).</t>
  </si>
  <si>
    <t xml:space="preserve">S38</t>
  </si>
  <si>
    <t xml:space="preserve">Australia Post - Pet products</t>
  </si>
  <si>
    <t xml:space="preserve">$1.4b online in 2025, +15.2% YoY; 1.2m households; $120.62 basket; 37% of category spend online</t>
  </si>
  <si>
    <t xml:space="preserve">https://auspost.com.au/content/dam/auspost_corp/media/documents/australia-post-ecommerce-report-2026-pet-products.pdf</t>
  </si>
  <si>
    <t xml:space="preserve">S39</t>
  </si>
  <si>
    <t xml:space="preserve">Q7</t>
  </si>
  <si>
    <t xml:space="preserve">Australia Post eCommerce Report 2026 (landing page)</t>
  </si>
  <si>
    <t xml:space="preserve">Online spend $82.6b in 2025, +14% (2024: $72.5b); Home &amp; Garden listed among top five categories, no category spend figure on this page</t>
  </si>
  <si>
    <t xml:space="preserve">https://auspost.com.au/business/ecommerce/ecommerce-report</t>
  </si>
  <si>
    <t xml:space="preserve">Official industry report page (fetched)</t>
  </si>
  <si>
    <t xml:space="preserve">S40</t>
  </si>
  <si>
    <t xml:space="preserve">Australia Post eCommerce trends (FY26 Q4 update)</t>
  </si>
  <si>
    <t xml:space="preserve">Q4 FY26: $21.9b spent online, record-low $90 average basket, marketplaces 42% of transactions (+17% YoY)</t>
  </si>
  <si>
    <t xml:space="preserve">https://auspost.com.au/business/marketing-and-communications/access-data-and-insights/ecommerce-trends</t>
  </si>
  <si>
    <t xml:space="preserve">S41</t>
  </si>
  <si>
    <t xml:space="preserve">Q7/Q13</t>
  </si>
  <si>
    <t xml:space="preserve">ABS household spending</t>
  </si>
  <si>
    <t xml:space="preserve">Household spending unchanged in Aug 2026, +6.8% YoY; furniture fell (released 29 Sep 2026)</t>
  </si>
  <si>
    <t xml:space="preserve">https://www.abs.gov.au/media-centre/media-releases/household-spending-unchanged-august</t>
  </si>
  <si>
    <t xml:space="preserve">Government statistics (fetched)</t>
  </si>
  <si>
    <t xml:space="preserve">S42</t>
  </si>
  <si>
    <t xml:space="preserve">Amazon AU Best Sellers</t>
  </si>
  <si>
    <t xml:space="preserve">Live Best Sellers page for Home Storage &amp; Organisation loads and shows category rankings</t>
  </si>
  <si>
    <t xml:space="preserve">https://www.amazon.com.au/gp/bestsellers/home/4975214051</t>
  </si>
  <si>
    <t xml:space="preserve">Marketplace ranking page (opened in Chrome)</t>
  </si>
  <si>
    <t xml:space="preserve">Rank only; no unit sales published.</t>
  </si>
  <si>
    <t xml:space="preserve">S43</t>
  </si>
  <si>
    <t xml:space="preserve">Office chair/garden/pet category pages with 'Don't Pay' reference prices and seller names</t>
  </si>
  <si>
    <t xml:space="preserve">https://www.kogan.com/au/c/garden-beds/</t>
  </si>
  <si>
    <t xml:space="preserve">Retailer (opened in Chrome)</t>
  </si>
  <si>
    <t xml:space="preserve">S44</t>
  </si>
  <si>
    <t xml:space="preserve">Q13</t>
  </si>
  <si>
    <t xml:space="preserve">'Bestseller' and 'Trending' badges on search results</t>
  </si>
  <si>
    <t xml:space="preserve">Badge criteria not published (e.g. a 0-review chair carried 'Bestseller').</t>
  </si>
  <si>
    <t xml:space="preserve">QA - automated cross-checks (all should read PASS)</t>
  </si>
  <si>
    <t xml:space="preserve">Check</t>
  </si>
  <si>
    <t xml:space="preserve">Q1: sum of profits = total sell - total cost</t>
  </si>
  <si>
    <t xml:space="preserve">Q1: highest margin product is Bedside Table</t>
  </si>
  <si>
    <t xml:space="preserve">Q4: 15 records in total</t>
  </si>
  <si>
    <t xml:space="preserve">Q4: at least 3 products per competitor (all five)</t>
  </si>
  <si>
    <t xml:space="preserve">Q4: every record has a URL</t>
  </si>
  <si>
    <t xml:space="preserve">Q4: every record has a price</t>
  </si>
  <si>
    <t xml:space="preserve">Q6: profit matches independent route</t>
  </si>
  <si>
    <t xml:space="preserve">Q6: gross profit = 39.95</t>
  </si>
  <si>
    <t xml:space="preserve">Q8: AOV constant at $150 in all months</t>
  </si>
  <si>
    <t xml:space="preserve">Q9: stage rates multiply to overall rate</t>
  </si>
  <si>
    <t xml:space="preserve">Sources: at least 30 rows registered</t>
  </si>
  <si>
    <t xml:space="preserve">Q6: net profit rounds to 17.45 and net margin to 11.6%</t>
  </si>
  <si>
    <t xml:space="preserve">Q6: total listed costs = 22.50 (3% x 149.95 + 8 + 10)</t>
  </si>
  <si>
    <t xml:space="preserve">Q8: conversion Jan-Apr = 2.00%, 1.75%, 1.37%, 1.05% (typed independently)</t>
  </si>
  <si>
    <t xml:space="preserve">Q8: conversion recomputed from raw inputs (orders / visitors) matches column E</t>
  </si>
  <si>
    <t xml:space="preserve">Q9: stage rates = 5%, 20%, 20% and overall 0.20% (typed independently)</t>
  </si>
  <si>
    <t xml:space="preserve">Q4: all 15 prices recompute the same median via a second route (SUMPRODUCT rank)</t>
  </si>
  <si>
    <t xml:space="preserve">Q4: 15 distinct product IDs (no duplicated records)</t>
  </si>
  <si>
    <t xml:space="preserve">Sources: every source row has an https URL</t>
  </si>
  <si>
    <t xml:space="preserve">Overall</t>
  </si>
</sst>
</file>

<file path=xl/styles.xml><?xml version="1.0" encoding="utf-8"?>
<styleSheet xmlns="http://schemas.openxmlformats.org/spreadsheetml/2006/main">
  <numFmts count="11">
    <numFmt numFmtId="164" formatCode="General"/>
    <numFmt numFmtId="165" formatCode="\$#,##0"/>
    <numFmt numFmtId="166" formatCode="0.0%"/>
    <numFmt numFmtId="167" formatCode="0"/>
    <numFmt numFmtId="168" formatCode="\$#,##0.00"/>
    <numFmt numFmtId="169" formatCode="0.0"/>
    <numFmt numFmtId="170" formatCode="#,##0"/>
    <numFmt numFmtId="171" formatCode="dd\-mmm\-yyyy"/>
    <numFmt numFmtId="172" formatCode="0.00"/>
    <numFmt numFmtId="173" formatCode="0.00%"/>
    <numFmt numFmtId="174" formatCode="0.00&quot; pts&quot;"/>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sz val="10"/>
      <color rgb="FF7F6000"/>
      <name val="Arial"/>
      <family val="0"/>
      <charset val="1"/>
    </font>
    <font>
      <u val="single"/>
      <sz val="10"/>
      <color rgb="FF0563C1"/>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5" fontId="9" fillId="3"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6" fontId="6" fillId="4"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8"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7" fontId="7" fillId="4"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8" fontId="9" fillId="3"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9" fontId="9" fillId="0" borderId="1" xfId="0" applyFont="true" applyBorder="true" applyAlignment="true" applyProtection="false">
      <alignment horizontal="general" vertical="top" textRotation="0" wrapText="true" indent="0" shrinkToFit="false"/>
      <protection locked="true" hidden="false"/>
    </xf>
    <xf numFmtId="170" fontId="9"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71" fontId="7" fillId="0"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72" fontId="7"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xf numFmtId="172" fontId="7" fillId="4" borderId="1" xfId="0" applyFont="true" applyBorder="true" applyAlignment="true" applyProtection="false">
      <alignment horizontal="general" vertical="top" textRotation="0" wrapText="true" indent="0" shrinkToFit="false"/>
      <protection locked="true" hidden="false"/>
    </xf>
    <xf numFmtId="170" fontId="7" fillId="4"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6" fontId="9" fillId="3" borderId="1" xfId="0" applyFont="true" applyBorder="true" applyAlignment="true" applyProtection="false">
      <alignment horizontal="general" vertical="top" textRotation="0" wrapText="true" indent="0" shrinkToFit="false"/>
      <protection locked="true" hidden="false"/>
    </xf>
    <xf numFmtId="168" fontId="6" fillId="4" borderId="1" xfId="0" applyFont="true" applyBorder="true" applyAlignment="true" applyProtection="false">
      <alignment horizontal="general" vertical="top" textRotation="0" wrapText="true" indent="0" shrinkToFit="false"/>
      <protection locked="true" hidden="false"/>
    </xf>
    <xf numFmtId="173" fontId="6" fillId="4" borderId="1" xfId="0" applyFont="true" applyBorder="true" applyAlignment="true" applyProtection="false">
      <alignment horizontal="general" vertical="top" textRotation="0" wrapText="true" indent="0" shrinkToFit="false"/>
      <protection locked="true" hidden="false"/>
    </xf>
    <xf numFmtId="170" fontId="9" fillId="3" borderId="1" xfId="0" applyFont="true" applyBorder="true" applyAlignment="true" applyProtection="false">
      <alignment horizontal="general" vertical="top" textRotation="0" wrapText="true" indent="0" shrinkToFit="false"/>
      <protection locked="true" hidden="false"/>
    </xf>
    <xf numFmtId="173" fontId="7" fillId="0" borderId="1" xfId="0" applyFont="true" applyBorder="true" applyAlignment="true" applyProtection="false">
      <alignment horizontal="general" vertical="top" textRotation="0" wrapText="true" indent="0" shrinkToFit="false"/>
      <protection locked="true" hidden="false"/>
    </xf>
    <xf numFmtId="174" fontId="7" fillId="0"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www.kmart.com.au/product/boucle-home-office-chair-43228386/" TargetMode="External"/><Relationship Id="rId2" Type="http://schemas.openxmlformats.org/officeDocument/2006/relationships/hyperlink" Target="https://www.kmart.com.au/product/sky-office-chair-43682737/" TargetMode="External"/><Relationship Id="rId3" Type="http://schemas.openxmlformats.org/officeDocument/2006/relationships/hyperlink" Target="https://www.kmart.com.au/product/alfordson-mesh-office-chair-executive-seat-tilt-gaming-racing-computer-grey-110049597/" TargetMode="External"/><Relationship Id="rId4" Type="http://schemas.openxmlformats.org/officeDocument/2006/relationships/hyperlink" Target="https://www.bunnings.com.au/alfordson-mesh-office-chair-dark-grey_p0508818" TargetMode="External"/><Relationship Id="rId5" Type="http://schemas.openxmlformats.org/officeDocument/2006/relationships/hyperlink" Target="https://www.bunnings.com.au/alfordson-office-chair-white_p0477986" TargetMode="External"/><Relationship Id="rId6" Type="http://schemas.openxmlformats.org/officeDocument/2006/relationships/hyperlink" Target="https://www.bunnings.com.au/artiss-black-pu-leather-executive-office-chair_p0215110" TargetMode="External"/><Relationship Id="rId7" Type="http://schemas.openxmlformats.org/officeDocument/2006/relationships/hyperlink" Target="https://www.bigw.com.au/product/1-alfordson-office-chair/p/9900120141" TargetMode="External"/><Relationship Id="rId8" Type="http://schemas.openxmlformats.org/officeDocument/2006/relationships/hyperlink" Target="https://www.bigw.com.au/product/alfordson-velvet-office-chair-for-work-mid-back-grey/p/9900116761" TargetMode="External"/><Relationship Id="rId9" Type="http://schemas.openxmlformats.org/officeDocument/2006/relationships/hyperlink" Target="https://www.bigw.com.au/product/alfordson-mesh-office-chair-racing-ergonomic-computer-chair-all-black/p/9902748573" TargetMode="External"/><Relationship Id="rId10" Type="http://schemas.openxmlformats.org/officeDocument/2006/relationships/hyperlink" Target="https://www.kogan.com/au/buy/ergolux-plus-ergonomic-mesh-office-chair-with-footrest-black-ergolux/" TargetMode="External"/><Relationship Id="rId11" Type="http://schemas.openxmlformats.org/officeDocument/2006/relationships/hyperlink" Target="https://www.kogan.com/au/buy/ergolux-core-ergonomic-foam-office-chair-black-ergolux/" TargetMode="External"/><Relationship Id="rId12" Type="http://schemas.openxmlformats.org/officeDocument/2006/relationships/hyperlink" Target="https://www.kogan.com/au/buy/sel-levede-office-chair-mesh-gaming-executive-tilt-chairs-computer-study-work-seat-of1040-bk/" TargetMode="External"/><Relationship Id="rId13" Type="http://schemas.openxmlformats.org/officeDocument/2006/relationships/hyperlink" Target="https://www.templeandwebster.com.au/Kylian-Executive-Chair-OIKT1510.html" TargetMode="External"/><Relationship Id="rId14" Type="http://schemas.openxmlformats.org/officeDocument/2006/relationships/hyperlink" Target="https://www.templeandwebster.com.au/Naomi-Mesh-Office-Chair-ALFD1293.html" TargetMode="External"/><Relationship Id="rId15" Type="http://schemas.openxmlformats.org/officeDocument/2006/relationships/hyperlink" Target="https://www.templeandwebster.com.au/Holly-Boucle-Office-Chair-TMPL6117.html" TargetMode="External"/><Relationship Id="rId16"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hyperlink" Target="https://www.bunnings.com.au/jack-1600-x-800mm-rectangular-raised-garden-bed_p0807491" TargetMode="External"/><Relationship Id="rId2" Type="http://schemas.openxmlformats.org/officeDocument/2006/relationships/hyperlink" Target="https://www.templeandwebster.com.au/Gordo-Galvanised-Steel-Raised-Garden-Bed-OIKT1274.html" TargetMode="External"/><Relationship Id="rId3" Type="http://schemas.openxmlformats.org/officeDocument/2006/relationships/hyperlink" Target="https://www.kogan.com/au/buy/sel-pawz-cat-tree-scratching-post-scratcher-cats-tower-wood-condo-toys-house-138cm-pt1155/" TargetMode="External"/><Relationship Id="rId4" Type="http://schemas.openxmlformats.org/officeDocument/2006/relationships/hyperlink" Target="https://www.kogan.com/au/buy/aussie-union-group-beastie-cat-tree-tower-scratching-post-black-104cm-kgv_a-cat-e-4st-104-bk/" TargetMode="External"/><Relationship Id="rId5" Type="http://schemas.openxmlformats.org/officeDocument/2006/relationships/hyperlink" Target="https://www.bunnings.com.au/alopet-142cm-cat-tree-tower-scratching-post-scratcher_p0520575" TargetMode="External"/><Relationship Id="rId6" Type="http://schemas.openxmlformats.org/officeDocument/2006/relationships/hyperlink" Target="https://www.kmart.com.au/product/advwin-cat-scratching-post-cat-tree-110009500/" TargetMode="External"/><Relationship Id="rId7" Type="http://schemas.openxmlformats.org/officeDocument/2006/relationships/hyperlink" Target="https://www.kogan.com/au/buy/290l-plastic-outdoor-storage-box-container-weatherproof-black-home-furniture/" TargetMode="External"/><Relationship Id="rId8" Type="http://schemas.openxmlformats.org/officeDocument/2006/relationships/hyperlink" Target="https://www.bunnings.com.au/products/outdoor-living/outdoor-furniture/outdoor-storage/outdoor-storage-boxes" TargetMode="External"/><Relationship Id="rId9" Type="http://schemas.openxmlformats.org/officeDocument/2006/relationships/hyperlink" Target="https://www.bunnings.com.au/products/outdoor-living/outdoor-furniture/outdoor-storage/outdoor-storage-boxes" TargetMode="External"/><Relationship Id="rId10" Type="http://schemas.openxmlformats.org/officeDocument/2006/relationships/hyperlink" Target="https://www.bunnings.com.au/products/outdoor-living/outdoor-furniture/outdoor-storage/outdoor-storage-boxes" TargetMode="External"/><Relationship Id="rId11" Type="http://schemas.openxmlformats.org/officeDocument/2006/relationships/hyperlink" Target="https://www.bunnings.com.au/products/outdoor-living/outdoor-furniture/outdoor-storage/outdoor-storage-boxes" TargetMode="External"/><Relationship Id="rId12" Type="http://schemas.openxmlformats.org/officeDocument/2006/relationships/hyperlink" Target="https://www.bunnings.com.au/products/outdoor-living/outdoor-furniture/outdoor-storage/outdoor-storage-boxes"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www.kmart.com.au/product/boucle-home-office-chair-43228386/" TargetMode="External"/><Relationship Id="rId2" Type="http://schemas.openxmlformats.org/officeDocument/2006/relationships/hyperlink" Target="https://www.kmart.com.au/product/sky-office-chair-43682737/" TargetMode="External"/><Relationship Id="rId3" Type="http://schemas.openxmlformats.org/officeDocument/2006/relationships/hyperlink" Target="https://www.kmart.com.au/product/alfordson-mesh-office-chair-executive-seat-tilt-gaming-racing-computer-grey-110049597/" TargetMode="External"/><Relationship Id="rId4" Type="http://schemas.openxmlformats.org/officeDocument/2006/relationships/hyperlink" Target="https://www.bunnings.com.au/alfordson-mesh-office-chair-dark-grey_p0508818" TargetMode="External"/><Relationship Id="rId5" Type="http://schemas.openxmlformats.org/officeDocument/2006/relationships/hyperlink" Target="https://www.bunnings.com.au/alfordson-office-chair-white_p0477986" TargetMode="External"/><Relationship Id="rId6" Type="http://schemas.openxmlformats.org/officeDocument/2006/relationships/hyperlink" Target="https://www.bunnings.com.au/artiss-black-pu-leather-executive-office-chair_p0215110" TargetMode="External"/><Relationship Id="rId7" Type="http://schemas.openxmlformats.org/officeDocument/2006/relationships/hyperlink" Target="https://www.bigw.com.au/product/1-alfordson-office-chair/p/9900120141" TargetMode="External"/><Relationship Id="rId8" Type="http://schemas.openxmlformats.org/officeDocument/2006/relationships/hyperlink" Target="https://www.bigw.com.au/product/alfordson-velvet-office-chair-for-work-mid-back-grey/p/9900116761" TargetMode="External"/><Relationship Id="rId9" Type="http://schemas.openxmlformats.org/officeDocument/2006/relationships/hyperlink" Target="https://www.bigw.com.au/product/alfordson-mesh-office-chair-racing-ergonomic-computer-chair-all-black/p/9902748573" TargetMode="External"/><Relationship Id="rId10" Type="http://schemas.openxmlformats.org/officeDocument/2006/relationships/hyperlink" Target="https://www.kogan.com/au/buy/ergolux-plus-ergonomic-mesh-office-chair-with-footrest-black-ergolux/" TargetMode="External"/><Relationship Id="rId11" Type="http://schemas.openxmlformats.org/officeDocument/2006/relationships/hyperlink" Target="https://www.kogan.com/au/buy/ergolux-core-ergonomic-foam-office-chair-black-ergolux/" TargetMode="External"/><Relationship Id="rId12" Type="http://schemas.openxmlformats.org/officeDocument/2006/relationships/hyperlink" Target="https://www.kogan.com/au/buy/sel-levede-office-chair-mesh-gaming-executive-tilt-chairs-computer-study-work-seat-of1040-bk/" TargetMode="External"/><Relationship Id="rId13" Type="http://schemas.openxmlformats.org/officeDocument/2006/relationships/hyperlink" Target="https://www.templeandwebster.com.au/Kylian-Executive-Chair-OIKT1510.html" TargetMode="External"/><Relationship Id="rId14" Type="http://schemas.openxmlformats.org/officeDocument/2006/relationships/hyperlink" Target="https://www.templeandwebster.com.au/Naomi-Mesh-Office-Chair-ALFD1293.html" TargetMode="External"/><Relationship Id="rId15" Type="http://schemas.openxmlformats.org/officeDocument/2006/relationships/hyperlink" Target="https://www.templeandwebster.com.au/Holly-Boucle-Office-Chair-TMPL6117.html" TargetMode="External"/><Relationship Id="rId16" Type="http://schemas.openxmlformats.org/officeDocument/2006/relationships/hyperlink" Target="https://www.kmart.com.au/search/?searchTerm=office%20chair" TargetMode="External"/><Relationship Id="rId17" Type="http://schemas.openxmlformats.org/officeDocument/2006/relationships/hyperlink" Target="https://www.bunnings.com.au/search/products?q=office%20chair" TargetMode="External"/><Relationship Id="rId18" Type="http://schemas.openxmlformats.org/officeDocument/2006/relationships/hyperlink" Target="https://www.bigw.com.au/search?text=office+chair" TargetMode="External"/><Relationship Id="rId19" Type="http://schemas.openxmlformats.org/officeDocument/2006/relationships/hyperlink" Target="https://www.kogan.com/au/shop/category/home-garden-3804/office-chairs/" TargetMode="External"/><Relationship Id="rId20" Type="http://schemas.openxmlformats.org/officeDocument/2006/relationships/hyperlink" Target="https://www.templeandwebster.com.au/Office-Chairs-C1812704.html" TargetMode="External"/><Relationship Id="rId21" Type="http://schemas.openxmlformats.org/officeDocument/2006/relationships/hyperlink" Target="https://www.bunnings.com.au/jack-1600-x-800mm-rectangular-raised-garden-bed_p0807491" TargetMode="External"/><Relationship Id="rId22" Type="http://schemas.openxmlformats.org/officeDocument/2006/relationships/hyperlink" Target="https://www.templeandwebster.com.au/Gordo-Galvanised-Steel-Raised-Garden-Bed-OIKT1274.html" TargetMode="External"/><Relationship Id="rId23" Type="http://schemas.openxmlformats.org/officeDocument/2006/relationships/hyperlink" Target="https://www.kogan.com/au/buy/sel-pawz-cat-tree-scratching-post-scratcher-cats-tower-wood-condo-toys-house-138cm-pt1155/" TargetMode="External"/><Relationship Id="rId24" Type="http://schemas.openxmlformats.org/officeDocument/2006/relationships/hyperlink" Target="https://www.kogan.com/au/buy/aussie-union-group-beastie-cat-tree-tower-scratching-post-black-104cm-kgv_a-cat-e-4st-104-bk/" TargetMode="External"/><Relationship Id="rId25" Type="http://schemas.openxmlformats.org/officeDocument/2006/relationships/hyperlink" Target="https://www.bunnings.com.au/alopet-142cm-cat-tree-tower-scratching-post-scratcher_p0520575" TargetMode="External"/><Relationship Id="rId26" Type="http://schemas.openxmlformats.org/officeDocument/2006/relationships/hyperlink" Target="https://www.kmart.com.au/product/advwin-cat-scratching-post-cat-tree-110009500/" TargetMode="External"/><Relationship Id="rId27" Type="http://schemas.openxmlformats.org/officeDocument/2006/relationships/hyperlink" Target="https://www.kogan.com/au/buy/290l-plastic-outdoor-storage-box-container-weatherproof-black-home-furniture/" TargetMode="External"/><Relationship Id="rId28" Type="http://schemas.openxmlformats.org/officeDocument/2006/relationships/hyperlink" Target="https://www.bunnings.com.au/products/outdoor-living/outdoor-furniture/outdoor-storage/outdoor-storage-boxes" TargetMode="External"/><Relationship Id="rId29" Type="http://schemas.openxmlformats.org/officeDocument/2006/relationships/hyperlink" Target="https://www.bunnings.com.au/products/outdoor-living/outdoor-furniture/outdoor-storage/outdoor-storage-boxes" TargetMode="External"/><Relationship Id="rId30" Type="http://schemas.openxmlformats.org/officeDocument/2006/relationships/hyperlink" Target="https://www.bunnings.com.au/products/outdoor-living/outdoor-furniture/outdoor-storage/outdoor-storage-boxes" TargetMode="External"/><Relationship Id="rId31" Type="http://schemas.openxmlformats.org/officeDocument/2006/relationships/hyperlink" Target="https://www.bunnings.com.au/products/outdoor-living/outdoor-furniture/outdoor-storage/outdoor-storage-boxes" TargetMode="External"/><Relationship Id="rId32" Type="http://schemas.openxmlformats.org/officeDocument/2006/relationships/hyperlink" Target="https://www.bunnings.com.au/products/outdoor-living/outdoor-furniture/outdoor-storage/outdoor-storage-boxes" TargetMode="External"/><Relationship Id="rId33" Type="http://schemas.openxmlformats.org/officeDocument/2006/relationships/hyperlink" Target="https://trends.google.com/trends/explore?date=today%205-y&amp;geo=AU&amp;q=raised%20garden%20bed,outdoor%20storage%20box,cat%20tree&amp;hl=en-AU" TargetMode="External"/><Relationship Id="rId34" Type="http://schemas.openxmlformats.org/officeDocument/2006/relationships/hyperlink" Target="https://auspost.com.au/content/dam/auspost_corp/media/documents/australia-post-ecommerce-report-2026-home-garden.pdf" TargetMode="External"/><Relationship Id="rId35" Type="http://schemas.openxmlformats.org/officeDocument/2006/relationships/hyperlink" Target="https://www.parcelandpostaltechnologyinternational.com/news/e-commerce/australian-online-spending-reaches-a82-6bn-in-2025.html" TargetMode="External"/><Relationship Id="rId36" Type="http://schemas.openxmlformats.org/officeDocument/2006/relationships/hyperlink" Target="https://www.ipc.be/news-portal/e-commerce/2026/03/18/16/03/aussies-add-82-6-billion-to-cart" TargetMode="External"/><Relationship Id="rId37" Type="http://schemas.openxmlformats.org/officeDocument/2006/relationships/hyperlink" Target="https://eightx.co/blog/australian-online-retail-category-share-2026" TargetMode="External"/><Relationship Id="rId38" Type="http://schemas.openxmlformats.org/officeDocument/2006/relationships/hyperlink" Target="https://auspost.com.au/content/dam/auspost_corp/media/documents/australia-post-ecommerce-report-2026-pet-products.pdf" TargetMode="External"/><Relationship Id="rId39" Type="http://schemas.openxmlformats.org/officeDocument/2006/relationships/hyperlink" Target="https://auspost.com.au/business/ecommerce/ecommerce-report" TargetMode="External"/><Relationship Id="rId40" Type="http://schemas.openxmlformats.org/officeDocument/2006/relationships/hyperlink" Target="https://auspost.com.au/business/marketing-and-communications/access-data-and-insights/ecommerce-trends" TargetMode="External"/><Relationship Id="rId41" Type="http://schemas.openxmlformats.org/officeDocument/2006/relationships/hyperlink" Target="https://www.abs.gov.au/media-centre/media-releases/household-spending-unchanged-august" TargetMode="External"/><Relationship Id="rId42" Type="http://schemas.openxmlformats.org/officeDocument/2006/relationships/hyperlink" Target="https://www.amazon.com.au/gp/bestsellers/home/4975214051" TargetMode="External"/><Relationship Id="rId43" Type="http://schemas.openxmlformats.org/officeDocument/2006/relationships/hyperlink" Target="https://www.kogan.com/au/c/garden-beds/" TargetMode="External"/><Relationship Id="rId44" Type="http://schemas.openxmlformats.org/officeDocument/2006/relationships/hyperlink" Target="https://www.kmart.com.au/search/?searchTerm=office%20chai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23.8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23.8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1" customFormat="false" ht="15" hidden="false" customHeight="false" outlineLevel="0" collapsed="false">
      <c r="A11" s="3" t="s">
        <v>16</v>
      </c>
      <c r="B11" s="4" t="s">
        <v>17</v>
      </c>
    </row>
    <row r="12" customFormat="false" ht="15" hidden="false" customHeight="false" outlineLevel="0" collapsed="false">
      <c r="A12" s="3" t="s">
        <v>18</v>
      </c>
      <c r="B12" s="4" t="s">
        <v>19</v>
      </c>
    </row>
    <row r="13" customFormat="false" ht="15" hidden="false" customHeight="false" outlineLevel="0" collapsed="false">
      <c r="A13" s="3" t="s">
        <v>20</v>
      </c>
      <c r="B13" s="4" t="s">
        <v>21</v>
      </c>
    </row>
    <row r="14" customFormat="false" ht="15" hidden="false" customHeight="false" outlineLevel="0" collapsed="false">
      <c r="A14" s="3" t="s">
        <v>22</v>
      </c>
      <c r="B14" s="4" t="s">
        <v>23</v>
      </c>
    </row>
    <row r="15" customFormat="false" ht="15" hidden="false" customHeight="false" outlineLevel="0" collapsed="false">
      <c r="A15" s="3" t="s">
        <v>24</v>
      </c>
      <c r="B15" s="4" t="s">
        <v>25</v>
      </c>
    </row>
    <row r="16" customFormat="false" ht="15" hidden="false" customHeight="false" outlineLevel="0" collapsed="false">
      <c r="A16" s="3" t="s">
        <v>26</v>
      </c>
      <c r="B16" s="4" t="s">
        <v>27</v>
      </c>
    </row>
    <row r="17" customFormat="false" ht="23.85" hidden="false" customHeight="false" outlineLevel="0" collapsed="false">
      <c r="A17" s="3" t="s">
        <v>28</v>
      </c>
      <c r="B17" s="4" t="s">
        <v>29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14"/>
    <col collapsed="false" customWidth="true" hidden="false" outlineLevel="0" max="5" min="5" style="0" width="16"/>
    <col collapsed="false" customWidth="true" hidden="false" outlineLevel="0" max="6" min="6" style="0" width="18"/>
    <col collapsed="false" customWidth="true" hidden="false" outlineLevel="0" max="8" min="7" style="0" width="13"/>
  </cols>
  <sheetData>
    <row r="1" customFormat="false" ht="17.35" hidden="false" customHeight="false" outlineLevel="0" collapsed="false">
      <c r="A1" s="1" t="s">
        <v>30</v>
      </c>
    </row>
    <row r="2" customFormat="false" ht="15" hidden="false" customHeight="false" outlineLevel="0" collapsed="false">
      <c r="A2" s="2" t="s">
        <v>31</v>
      </c>
    </row>
    <row r="4" customFormat="false" ht="15" hidden="false" customHeight="false" outlineLevel="0" collapsed="false">
      <c r="A4" s="5" t="s">
        <v>32</v>
      </c>
      <c r="B4" s="5" t="s">
        <v>33</v>
      </c>
      <c r="C4" s="5" t="s">
        <v>34</v>
      </c>
      <c r="D4" s="5" t="s">
        <v>35</v>
      </c>
      <c r="E4" s="5" t="s">
        <v>36</v>
      </c>
      <c r="F4" s="5" t="s">
        <v>37</v>
      </c>
      <c r="G4" s="5" t="s">
        <v>38</v>
      </c>
      <c r="H4" s="5" t="s">
        <v>39</v>
      </c>
    </row>
    <row r="5" customFormat="false" ht="15" hidden="false" customHeight="false" outlineLevel="0" collapsed="false">
      <c r="A5" s="4" t="s">
        <v>40</v>
      </c>
      <c r="B5" s="6" t="n">
        <v>120</v>
      </c>
      <c r="C5" s="6" t="n">
        <v>179</v>
      </c>
      <c r="D5" s="7" t="n">
        <f aca="false">C5-B5</f>
        <v>59</v>
      </c>
      <c r="E5" s="8" t="n">
        <f aca="false">D5/C5</f>
        <v>0.329608938547486</v>
      </c>
      <c r="F5" s="8" t="n">
        <f aca="false">D5/B5</f>
        <v>0.491666666666667</v>
      </c>
      <c r="G5" s="9" t="n">
        <f aca="false">RANK(E5,$E$5:$E$9)</f>
        <v>4</v>
      </c>
      <c r="H5" s="9" t="n">
        <f aca="false">RANK(D5,$D$5:$D$9)</f>
        <v>2</v>
      </c>
    </row>
    <row r="6" customFormat="false" ht="15" hidden="false" customHeight="false" outlineLevel="0" collapsed="false">
      <c r="A6" s="4" t="s">
        <v>41</v>
      </c>
      <c r="B6" s="6" t="n">
        <v>85</v>
      </c>
      <c r="C6" s="6" t="n">
        <v>129</v>
      </c>
      <c r="D6" s="7" t="n">
        <f aca="false">C6-B6</f>
        <v>44</v>
      </c>
      <c r="E6" s="8" t="n">
        <f aca="false">D6/C6</f>
        <v>0.341085271317829</v>
      </c>
      <c r="F6" s="8" t="n">
        <f aca="false">D6/B6</f>
        <v>0.51764705882353</v>
      </c>
      <c r="G6" s="9" t="n">
        <f aca="false">RANK(E6,$E$5:$E$9)</f>
        <v>3</v>
      </c>
      <c r="H6" s="9" t="n">
        <f aca="false">RANK(D6,$D$5:$D$9)</f>
        <v>3</v>
      </c>
    </row>
    <row r="7" customFormat="false" ht="15" hidden="false" customHeight="false" outlineLevel="0" collapsed="false">
      <c r="A7" s="4" t="s">
        <v>42</v>
      </c>
      <c r="B7" s="6" t="n">
        <v>150</v>
      </c>
      <c r="C7" s="6" t="n">
        <v>219</v>
      </c>
      <c r="D7" s="7" t="n">
        <f aca="false">C7-B7</f>
        <v>69</v>
      </c>
      <c r="E7" s="8" t="n">
        <f aca="false">D7/C7</f>
        <v>0.315068493150685</v>
      </c>
      <c r="F7" s="8" t="n">
        <f aca="false">D7/B7</f>
        <v>0.46</v>
      </c>
      <c r="G7" s="9" t="n">
        <f aca="false">RANK(E7,$E$5:$E$9)</f>
        <v>5</v>
      </c>
      <c r="H7" s="9" t="n">
        <f aca="false">RANK(D7,$D$5:$D$9)</f>
        <v>1</v>
      </c>
    </row>
    <row r="8" customFormat="false" ht="15" hidden="false" customHeight="false" outlineLevel="0" collapsed="false">
      <c r="A8" s="4" t="s">
        <v>43</v>
      </c>
      <c r="B8" s="6" t="n">
        <v>45</v>
      </c>
      <c r="C8" s="6" t="n">
        <v>69</v>
      </c>
      <c r="D8" s="7" t="n">
        <f aca="false">C8-B8</f>
        <v>24</v>
      </c>
      <c r="E8" s="8" t="n">
        <f aca="false">D8/C8</f>
        <v>0.347826086956522</v>
      </c>
      <c r="F8" s="8" t="n">
        <f aca="false">D8/B8</f>
        <v>0.533333333333333</v>
      </c>
      <c r="G8" s="9" t="n">
        <f aca="false">RANK(E8,$E$5:$E$9)</f>
        <v>2</v>
      </c>
      <c r="H8" s="9" t="n">
        <f aca="false">RANK(D8,$D$5:$D$9)</f>
        <v>5</v>
      </c>
    </row>
    <row r="9" customFormat="false" ht="15" hidden="false" customHeight="false" outlineLevel="0" collapsed="false">
      <c r="A9" s="4" t="s">
        <v>44</v>
      </c>
      <c r="B9" s="6" t="n">
        <v>60</v>
      </c>
      <c r="C9" s="6" t="n">
        <v>99</v>
      </c>
      <c r="D9" s="7" t="n">
        <f aca="false">C9-B9</f>
        <v>39</v>
      </c>
      <c r="E9" s="8" t="n">
        <f aca="false">D9/C9</f>
        <v>0.393939393939394</v>
      </c>
      <c r="F9" s="8" t="n">
        <f aca="false">D9/B9</f>
        <v>0.65</v>
      </c>
      <c r="G9" s="9" t="n">
        <f aca="false">RANK(E9,$E$5:$E$9)</f>
        <v>1</v>
      </c>
      <c r="H9" s="9" t="n">
        <f aca="false">RANK(D9,$D$5:$D$9)</f>
        <v>4</v>
      </c>
    </row>
    <row r="11" customFormat="false" ht="15" hidden="false" customHeight="false" outlineLevel="0" collapsed="false">
      <c r="A11" s="3" t="s">
        <v>45</v>
      </c>
      <c r="B11" s="10" t="str">
        <f aca="false">INDEX(A5:A9,MATCH(MAX(E5:E9),E5:E9,0))</f>
        <v>Bedside Table</v>
      </c>
      <c r="C11" s="11" t="n">
        <f aca="false">MAX(E5:E9)</f>
        <v>0.393939393939394</v>
      </c>
    </row>
    <row r="12" customFormat="false" ht="15" hidden="false" customHeight="false" outlineLevel="0" collapsed="false">
      <c r="A12" s="3" t="s">
        <v>46</v>
      </c>
      <c r="B12" s="10" t="str">
        <f aca="false">INDEX(A5:A9,MATCH(MAX(D5:D9),D5:D9,0))</f>
        <v>Garden Table</v>
      </c>
      <c r="C12" s="12" t="n">
        <f aca="false">MAX(D5:D9)</f>
        <v>69</v>
      </c>
    </row>
    <row r="13" customFormat="false" ht="15" hidden="false" customHeight="false" outlineLevel="0" collapsed="false">
      <c r="A13" s="3" t="s">
        <v>47</v>
      </c>
      <c r="B13" s="4" t="str">
        <f aca="false">INDEX(A5:A9,MATCH(MIN(E5:E9),E5:E9,0))</f>
        <v>Garden Table</v>
      </c>
      <c r="C13" s="8" t="n">
        <f aca="false">MIN(E5:E9)</f>
        <v>0.315068493150685</v>
      </c>
    </row>
    <row r="15" customFormat="false" ht="13.5" hidden="false" customHeight="true" outlineLevel="0" collapsed="false">
      <c r="A15" s="13" t="s">
        <v>48</v>
      </c>
      <c r="B15" s="13"/>
      <c r="C15" s="13"/>
      <c r="D15" s="13"/>
      <c r="E15" s="13"/>
      <c r="F15" s="13"/>
      <c r="G15" s="13"/>
      <c r="H15" s="13"/>
    </row>
    <row r="16" customFormat="false" ht="27.75" hidden="false" customHeight="true" outlineLevel="0" collapsed="false">
      <c r="A16" s="13" t="s">
        <v>49</v>
      </c>
      <c r="B16" s="13"/>
      <c r="C16" s="13"/>
      <c r="D16" s="13"/>
      <c r="E16" s="13"/>
      <c r="F16" s="13"/>
      <c r="G16" s="13"/>
      <c r="H16" s="13"/>
    </row>
  </sheetData>
  <mergeCells count="2">
    <mergeCell ref="A15:H15"/>
    <mergeCell ref="A16:H1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4"/>
    <col collapsed="false" customWidth="true" hidden="false" outlineLevel="0" max="3" min="3" style="0" width="52"/>
    <col collapsed="false" customWidth="true" hidden="false" outlineLevel="0" max="4" min="4" style="0" width="22"/>
    <col collapsed="false" customWidth="true" hidden="false" outlineLevel="0" max="5" min="5" style="0" width="62"/>
  </cols>
  <sheetData>
    <row r="1" customFormat="false" ht="17.35" hidden="false" customHeight="false" outlineLevel="0" collapsed="false">
      <c r="A1" s="1" t="s">
        <v>50</v>
      </c>
    </row>
    <row r="2" customFormat="false" ht="15" hidden="false" customHeight="false" outlineLevel="0" collapsed="false">
      <c r="A2" s="2" t="s">
        <v>51</v>
      </c>
    </row>
    <row r="4" customFormat="false" ht="15" hidden="false" customHeight="false" outlineLevel="0" collapsed="false">
      <c r="A4" s="5" t="s">
        <v>52</v>
      </c>
      <c r="B4" s="5" t="s">
        <v>32</v>
      </c>
      <c r="C4" s="5" t="s">
        <v>53</v>
      </c>
      <c r="D4" s="5" t="s">
        <v>54</v>
      </c>
      <c r="E4" s="5" t="s">
        <v>55</v>
      </c>
    </row>
    <row r="5" customFormat="false" ht="15" hidden="false" customHeight="false" outlineLevel="0" collapsed="false">
      <c r="A5" s="4" t="n">
        <v>1001</v>
      </c>
      <c r="B5" s="14" t="s">
        <v>40</v>
      </c>
      <c r="C5" s="14" t="n">
        <v>2</v>
      </c>
      <c r="D5" s="6" t="n">
        <v>358</v>
      </c>
      <c r="E5" s="14" t="s">
        <v>56</v>
      </c>
    </row>
    <row r="6" customFormat="false" ht="15" hidden="false" customHeight="false" outlineLevel="0" collapsed="false">
      <c r="A6" s="4" t="n">
        <v>1002</v>
      </c>
      <c r="B6" s="14" t="s">
        <v>43</v>
      </c>
      <c r="C6" s="14" t="n">
        <v>5</v>
      </c>
      <c r="D6" s="6" t="n">
        <v>345</v>
      </c>
      <c r="E6" s="14" t="s">
        <v>57</v>
      </c>
    </row>
    <row r="7" customFormat="false" ht="15" hidden="false" customHeight="false" outlineLevel="0" collapsed="false">
      <c r="A7" s="4" t="n">
        <v>1003</v>
      </c>
      <c r="B7" s="14" t="s">
        <v>44</v>
      </c>
      <c r="C7" s="14" t="n">
        <v>1</v>
      </c>
      <c r="D7" s="6" t="n">
        <v>99</v>
      </c>
      <c r="E7" s="14" t="s">
        <v>56</v>
      </c>
    </row>
    <row r="8" customFormat="false" ht="15" hidden="false" customHeight="false" outlineLevel="0" collapsed="false">
      <c r="A8" s="4" t="n">
        <v>1004</v>
      </c>
      <c r="B8" s="14" t="s">
        <v>42</v>
      </c>
      <c r="C8" s="14" t="n">
        <v>1</v>
      </c>
      <c r="D8" s="6" t="n">
        <v>219</v>
      </c>
      <c r="E8" s="14" t="s">
        <v>58</v>
      </c>
    </row>
    <row r="9" customFormat="false" ht="15" hidden="false" customHeight="false" outlineLevel="0" collapsed="false">
      <c r="A9" s="4" t="n">
        <v>1005</v>
      </c>
      <c r="B9" s="14" t="s">
        <v>40</v>
      </c>
      <c r="C9" s="14" t="n">
        <v>1</v>
      </c>
      <c r="D9" s="6" t="n">
        <v>179</v>
      </c>
      <c r="E9" s="14" t="s">
        <v>57</v>
      </c>
    </row>
    <row r="10" customFormat="false" ht="15" hidden="false" customHeight="false" outlineLevel="0" collapsed="false">
      <c r="A10" s="4" t="n">
        <v>1006</v>
      </c>
      <c r="B10" s="14" t="s">
        <v>41</v>
      </c>
      <c r="C10" s="14" t="n">
        <v>3</v>
      </c>
      <c r="D10" s="6" t="n">
        <v>387</v>
      </c>
      <c r="E10" s="14" t="s">
        <v>56</v>
      </c>
    </row>
    <row r="11" customFormat="false" ht="15" hidden="false" customHeight="false" outlineLevel="0" collapsed="false">
      <c r="A11" s="4" t="n">
        <v>1007</v>
      </c>
      <c r="B11" s="14" t="s">
        <v>44</v>
      </c>
      <c r="C11" s="14" t="n">
        <v>4</v>
      </c>
      <c r="D11" s="6" t="n">
        <v>396</v>
      </c>
      <c r="E11" s="14" t="s">
        <v>57</v>
      </c>
    </row>
    <row r="12" customFormat="false" ht="15" hidden="false" customHeight="false" outlineLevel="0" collapsed="false">
      <c r="A12" s="4" t="n">
        <v>1008</v>
      </c>
      <c r="B12" s="14" t="s">
        <v>43</v>
      </c>
      <c r="C12" s="14" t="n">
        <v>2</v>
      </c>
      <c r="D12" s="6" t="n">
        <v>138</v>
      </c>
      <c r="E12" s="14" t="s">
        <v>56</v>
      </c>
    </row>
    <row r="15" customFormat="false" ht="15" hidden="false" customHeight="false" outlineLevel="0" collapsed="false">
      <c r="A15" s="5" t="s">
        <v>59</v>
      </c>
      <c r="B15" s="5" t="s">
        <v>2</v>
      </c>
      <c r="C15" s="5" t="s">
        <v>60</v>
      </c>
      <c r="D15" s="5" t="s">
        <v>61</v>
      </c>
      <c r="E15" s="5" t="s">
        <v>62</v>
      </c>
    </row>
    <row r="16" customFormat="false" ht="15" hidden="false" customHeight="false" outlineLevel="0" collapsed="false">
      <c r="A16" s="3" t="s">
        <v>63</v>
      </c>
      <c r="B16" s="4" t="s">
        <v>64</v>
      </c>
      <c r="C16" s="15" t="s">
        <v>65</v>
      </c>
      <c r="D16" s="16" t="n">
        <f aca="false">SUM(D5:D12)</f>
        <v>2121</v>
      </c>
      <c r="E16" s="4" t="s">
        <v>66</v>
      </c>
    </row>
    <row r="17" customFormat="false" ht="15" hidden="false" customHeight="false" outlineLevel="0" collapsed="false">
      <c r="A17" s="3" t="s">
        <v>67</v>
      </c>
      <c r="B17" s="4" t="s">
        <v>68</v>
      </c>
      <c r="C17" s="15" t="s">
        <v>69</v>
      </c>
      <c r="D17" s="17" t="n">
        <f aca="false">AVERAGE(D5:D12)</f>
        <v>265.125</v>
      </c>
      <c r="E17" s="4" t="s">
        <v>70</v>
      </c>
    </row>
    <row r="18" customFormat="false" ht="23.85" hidden="false" customHeight="false" outlineLevel="0" collapsed="false">
      <c r="A18" s="3" t="s">
        <v>71</v>
      </c>
      <c r="B18" s="4" t="s">
        <v>72</v>
      </c>
      <c r="C18" s="15" t="s">
        <v>73</v>
      </c>
      <c r="D18" s="18" t="str">
        <f aca="false">IF(Q1_Profit!E9&gt;=0.35,"Keep - strong margin","Review pricing")</f>
        <v>Keep - strong margin</v>
      </c>
      <c r="E18" s="4" t="s">
        <v>74</v>
      </c>
    </row>
    <row r="19" customFormat="false" ht="15" hidden="false" customHeight="false" outlineLevel="0" collapsed="false">
      <c r="A19" s="3" t="s">
        <v>75</v>
      </c>
      <c r="B19" s="4" t="s">
        <v>76</v>
      </c>
      <c r="C19" s="15" t="s">
        <v>77</v>
      </c>
      <c r="D19" s="19" t="n">
        <f aca="false">COUNTIF(E5:E12,"NSW")</f>
        <v>4</v>
      </c>
      <c r="E19" s="4" t="s">
        <v>78</v>
      </c>
    </row>
    <row r="20" customFormat="false" ht="23.85" hidden="false" customHeight="false" outlineLevel="0" collapsed="false">
      <c r="A20" s="3" t="s">
        <v>79</v>
      </c>
      <c r="B20" s="4" t="s">
        <v>80</v>
      </c>
      <c r="C20" s="15" t="s">
        <v>81</v>
      </c>
      <c r="D20" s="16" t="n">
        <f aca="false">VLOOKUP(B6,Q1_Profit!$A$5:$C$9,3,FALSE())</f>
        <v>69</v>
      </c>
      <c r="E20" s="4" t="s">
        <v>82</v>
      </c>
    </row>
    <row r="21" customFormat="false" ht="23.85" hidden="false" customHeight="false" outlineLevel="0" collapsed="false">
      <c r="A21" s="3" t="s">
        <v>83</v>
      </c>
      <c r="B21" s="4" t="s">
        <v>84</v>
      </c>
      <c r="C21" s="15" t="s">
        <v>85</v>
      </c>
      <c r="D21" s="16" t="n">
        <f aca="false">INDEX(Q1_Profit!$B$5:$B$9,MATCH(B8,Q1_Profit!$A$5:$A$9,0))</f>
        <v>150</v>
      </c>
      <c r="E21" s="4" t="s">
        <v>86</v>
      </c>
    </row>
    <row r="22" customFormat="false" ht="35.05" hidden="false" customHeight="false" outlineLevel="0" collapsed="false">
      <c r="A22" s="3" t="s">
        <v>87</v>
      </c>
      <c r="B22" s="4" t="s">
        <v>88</v>
      </c>
      <c r="C22" s="15" t="s">
        <v>89</v>
      </c>
      <c r="D22" s="20" t="s">
        <v>90</v>
      </c>
      <c r="E22" s="4" t="s">
        <v>91</v>
      </c>
    </row>
    <row r="24" customFormat="false" ht="27.75" hidden="false" customHeight="true" outlineLevel="0" collapsed="false">
      <c r="A24" s="13" t="s">
        <v>92</v>
      </c>
      <c r="B24" s="13"/>
      <c r="C24" s="13"/>
      <c r="D24" s="13"/>
      <c r="E24" s="13"/>
    </row>
  </sheetData>
  <mergeCells count="1">
    <mergeCell ref="A24:E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20"/>
    <col collapsed="false" customWidth="true" hidden="false" outlineLevel="0" max="4" min="4" style="0" width="34"/>
    <col collapsed="false" customWidth="true" hidden="false" outlineLevel="0" max="5" min="5" style="0" width="24"/>
    <col collapsed="false" customWidth="true" hidden="false" outlineLevel="0" max="6" min="6" style="0" width="18"/>
    <col collapsed="false" customWidth="true" hidden="false" outlineLevel="0" max="9" min="7" style="0" width="12"/>
    <col collapsed="false" customWidth="true" hidden="false" outlineLevel="0" max="10" min="10" style="0" width="11"/>
    <col collapsed="false" customWidth="true" hidden="false" outlineLevel="0" max="11" min="11" style="0" width="10"/>
    <col collapsed="false" customWidth="true" hidden="false" outlineLevel="0" max="12" min="12" style="0" width="44"/>
    <col collapsed="false" customWidth="true" hidden="false" outlineLevel="0" max="14" min="13" style="0" width="10"/>
    <col collapsed="false" customWidth="true" hidden="false" outlineLevel="0" max="15" min="15" style="0" width="44"/>
    <col collapsed="false" customWidth="true" hidden="false" outlineLevel="0" max="16" min="16" style="0" width="56"/>
    <col collapsed="false" customWidth="true" hidden="false" outlineLevel="0" max="17" min="17" style="0" width="13"/>
    <col collapsed="false" customWidth="true" hidden="false" outlineLevel="0" max="18" min="18" style="0" width="14"/>
  </cols>
  <sheetData>
    <row r="1" customFormat="false" ht="17.35" hidden="false" customHeight="false" outlineLevel="0" collapsed="false">
      <c r="A1" s="1" t="s">
        <v>93</v>
      </c>
    </row>
    <row r="2" customFormat="false" ht="15" hidden="false" customHeight="false" outlineLevel="0" collapsed="false">
      <c r="A2" s="2" t="s">
        <v>94</v>
      </c>
    </row>
    <row r="4" customFormat="false" ht="35.05" hidden="false" customHeight="false" outlineLevel="0" collapsed="false">
      <c r="A4" s="5" t="s">
        <v>95</v>
      </c>
      <c r="B4" s="5" t="s">
        <v>96</v>
      </c>
      <c r="C4" s="5" t="s">
        <v>97</v>
      </c>
      <c r="D4" s="5" t="s">
        <v>98</v>
      </c>
      <c r="E4" s="5" t="s">
        <v>99</v>
      </c>
      <c r="F4" s="5" t="s">
        <v>100</v>
      </c>
      <c r="G4" s="5" t="s">
        <v>101</v>
      </c>
      <c r="H4" s="5" t="s">
        <v>102</v>
      </c>
      <c r="I4" s="5" t="s">
        <v>103</v>
      </c>
      <c r="J4" s="5" t="s">
        <v>104</v>
      </c>
      <c r="K4" s="5" t="s">
        <v>105</v>
      </c>
      <c r="L4" s="5" t="s">
        <v>106</v>
      </c>
      <c r="M4" s="5" t="s">
        <v>107</v>
      </c>
      <c r="N4" s="5" t="s">
        <v>108</v>
      </c>
      <c r="O4" s="5" t="s">
        <v>109</v>
      </c>
      <c r="P4" s="5" t="s">
        <v>110</v>
      </c>
      <c r="Q4" s="5" t="s">
        <v>111</v>
      </c>
      <c r="R4" s="5" t="s">
        <v>112</v>
      </c>
    </row>
    <row r="5" customFormat="false" ht="120" hidden="false" customHeight="true" outlineLevel="0" collapsed="false">
      <c r="A5" s="4" t="s">
        <v>113</v>
      </c>
      <c r="B5" s="4" t="s">
        <v>114</v>
      </c>
      <c r="C5" s="4" t="s">
        <v>115</v>
      </c>
      <c r="D5" s="4" t="s">
        <v>116</v>
      </c>
      <c r="E5" s="4" t="s">
        <v>117</v>
      </c>
      <c r="F5" s="4" t="s">
        <v>118</v>
      </c>
      <c r="G5" s="21" t="n">
        <v>149</v>
      </c>
      <c r="H5" s="22" t="s">
        <v>119</v>
      </c>
      <c r="I5" s="22" t="s">
        <v>120</v>
      </c>
      <c r="J5" s="22" t="n">
        <f aca="false">IF(ISNUMBER(I5),I5-G5,0)</f>
        <v>0</v>
      </c>
      <c r="K5" s="8" t="n">
        <f aca="false">IF(ISNUMBER(I5),J5/I5,0)</f>
        <v>0</v>
      </c>
      <c r="L5" s="4" t="s">
        <v>121</v>
      </c>
      <c r="M5" s="23" t="n">
        <v>4.7</v>
      </c>
      <c r="N5" s="24" t="n">
        <v>12</v>
      </c>
      <c r="O5" s="25" t="s">
        <v>122</v>
      </c>
      <c r="P5" s="4" t="s">
        <v>123</v>
      </c>
      <c r="Q5" s="26" t="n">
        <v>46303</v>
      </c>
      <c r="R5" s="27" t="n">
        <f aca="false">IF(ISNUMBER(M5),M5*N5,0)</f>
        <v>56.4</v>
      </c>
    </row>
    <row r="6" customFormat="false" ht="120" hidden="false" customHeight="true" outlineLevel="0" collapsed="false">
      <c r="A6" s="4" t="s">
        <v>124</v>
      </c>
      <c r="B6" s="4" t="s">
        <v>114</v>
      </c>
      <c r="C6" s="4" t="s">
        <v>115</v>
      </c>
      <c r="D6" s="4" t="s">
        <v>125</v>
      </c>
      <c r="E6" s="4" t="s">
        <v>117</v>
      </c>
      <c r="F6" s="4" t="s">
        <v>126</v>
      </c>
      <c r="G6" s="21" t="n">
        <v>149</v>
      </c>
      <c r="H6" s="22" t="s">
        <v>119</v>
      </c>
      <c r="I6" s="22" t="s">
        <v>120</v>
      </c>
      <c r="J6" s="22" t="n">
        <f aca="false">IF(ISNUMBER(I6),I6-G6,0)</f>
        <v>0</v>
      </c>
      <c r="K6" s="8" t="n">
        <f aca="false">IF(ISNUMBER(I6),J6/I6,0)</f>
        <v>0</v>
      </c>
      <c r="L6" s="4" t="s">
        <v>121</v>
      </c>
      <c r="M6" s="27" t="s">
        <v>127</v>
      </c>
      <c r="N6" s="24" t="n">
        <v>0</v>
      </c>
      <c r="O6" s="25" t="s">
        <v>128</v>
      </c>
      <c r="P6" s="4" t="s">
        <v>129</v>
      </c>
      <c r="Q6" s="26" t="n">
        <v>46303</v>
      </c>
      <c r="R6" s="27" t="n">
        <f aca="false">IF(ISNUMBER(M6),M6*N6,0)</f>
        <v>0</v>
      </c>
    </row>
    <row r="7" customFormat="false" ht="120" hidden="false" customHeight="true" outlineLevel="0" collapsed="false">
      <c r="A7" s="4" t="s">
        <v>130</v>
      </c>
      <c r="B7" s="4" t="s">
        <v>114</v>
      </c>
      <c r="C7" s="4" t="s">
        <v>115</v>
      </c>
      <c r="D7" s="4" t="s">
        <v>131</v>
      </c>
      <c r="E7" s="4" t="s">
        <v>132</v>
      </c>
      <c r="F7" s="4" t="s">
        <v>133</v>
      </c>
      <c r="G7" s="21" t="n">
        <v>79.85</v>
      </c>
      <c r="H7" s="22" t="s">
        <v>119</v>
      </c>
      <c r="I7" s="22" t="s">
        <v>120</v>
      </c>
      <c r="J7" s="22" t="n">
        <f aca="false">IF(ISNUMBER(I7),I7-G7,0)</f>
        <v>0</v>
      </c>
      <c r="K7" s="8" t="n">
        <f aca="false">IF(ISNUMBER(I7),J7/I7,0)</f>
        <v>0</v>
      </c>
      <c r="L7" s="4" t="s">
        <v>134</v>
      </c>
      <c r="M7" s="23" t="n">
        <v>5</v>
      </c>
      <c r="N7" s="24" t="n">
        <v>1</v>
      </c>
      <c r="O7" s="25" t="s">
        <v>135</v>
      </c>
      <c r="P7" s="4" t="s">
        <v>136</v>
      </c>
      <c r="Q7" s="26" t="n">
        <v>46303</v>
      </c>
      <c r="R7" s="27" t="n">
        <f aca="false">IF(ISNUMBER(M7),M7*N7,0)</f>
        <v>5</v>
      </c>
    </row>
    <row r="8" customFormat="false" ht="120" hidden="false" customHeight="true" outlineLevel="0" collapsed="false">
      <c r="A8" s="4" t="s">
        <v>137</v>
      </c>
      <c r="B8" s="4" t="s">
        <v>138</v>
      </c>
      <c r="C8" s="4" t="s">
        <v>115</v>
      </c>
      <c r="D8" s="4" t="s">
        <v>139</v>
      </c>
      <c r="E8" s="4" t="s">
        <v>132</v>
      </c>
      <c r="F8" s="4" t="s">
        <v>133</v>
      </c>
      <c r="G8" s="21" t="n">
        <v>59.85</v>
      </c>
      <c r="H8" s="22" t="s">
        <v>119</v>
      </c>
      <c r="I8" s="22" t="s">
        <v>120</v>
      </c>
      <c r="J8" s="22" t="n">
        <f aca="false">IF(ISNUMBER(I8),I8-G8,0)</f>
        <v>0</v>
      </c>
      <c r="K8" s="8" t="n">
        <f aca="false">IF(ISNUMBER(I8),J8/I8,0)</f>
        <v>0</v>
      </c>
      <c r="L8" s="4" t="s">
        <v>140</v>
      </c>
      <c r="M8" s="23" t="n">
        <v>2.9</v>
      </c>
      <c r="N8" s="24" t="n">
        <v>27</v>
      </c>
      <c r="O8" s="25" t="s">
        <v>141</v>
      </c>
      <c r="P8" s="4" t="s">
        <v>142</v>
      </c>
      <c r="Q8" s="26" t="n">
        <v>46303</v>
      </c>
      <c r="R8" s="27" t="n">
        <f aca="false">IF(ISNUMBER(M8),M8*N8,0)</f>
        <v>78.3</v>
      </c>
    </row>
    <row r="9" customFormat="false" ht="120" hidden="false" customHeight="true" outlineLevel="0" collapsed="false">
      <c r="A9" s="4" t="s">
        <v>143</v>
      </c>
      <c r="B9" s="4" t="s">
        <v>138</v>
      </c>
      <c r="C9" s="4" t="s">
        <v>115</v>
      </c>
      <c r="D9" s="4" t="s">
        <v>144</v>
      </c>
      <c r="E9" s="4" t="s">
        <v>132</v>
      </c>
      <c r="F9" s="4" t="s">
        <v>145</v>
      </c>
      <c r="G9" s="21" t="n">
        <v>109.85</v>
      </c>
      <c r="H9" s="22" t="s">
        <v>119</v>
      </c>
      <c r="I9" s="22" t="s">
        <v>120</v>
      </c>
      <c r="J9" s="22" t="n">
        <f aca="false">IF(ISNUMBER(I9),I9-G9,0)</f>
        <v>0</v>
      </c>
      <c r="K9" s="8" t="n">
        <f aca="false">IF(ISNUMBER(I9),J9/I9,0)</f>
        <v>0</v>
      </c>
      <c r="L9" s="4" t="s">
        <v>140</v>
      </c>
      <c r="M9" s="23" t="n">
        <v>3.9</v>
      </c>
      <c r="N9" s="24" t="n">
        <v>39</v>
      </c>
      <c r="O9" s="25" t="s">
        <v>146</v>
      </c>
      <c r="P9" s="4" t="s">
        <v>147</v>
      </c>
      <c r="Q9" s="26" t="n">
        <v>46303</v>
      </c>
      <c r="R9" s="27" t="n">
        <f aca="false">IF(ISNUMBER(M9),M9*N9,0)</f>
        <v>152.1</v>
      </c>
    </row>
    <row r="10" customFormat="false" ht="120" hidden="false" customHeight="true" outlineLevel="0" collapsed="false">
      <c r="A10" s="4" t="s">
        <v>148</v>
      </c>
      <c r="B10" s="4" t="s">
        <v>138</v>
      </c>
      <c r="C10" s="4" t="s">
        <v>115</v>
      </c>
      <c r="D10" s="4" t="s">
        <v>149</v>
      </c>
      <c r="E10" s="4" t="s">
        <v>150</v>
      </c>
      <c r="F10" s="4" t="s">
        <v>151</v>
      </c>
      <c r="G10" s="21" t="n">
        <v>135.66</v>
      </c>
      <c r="H10" s="22" t="s">
        <v>119</v>
      </c>
      <c r="I10" s="22" t="s">
        <v>120</v>
      </c>
      <c r="J10" s="22" t="n">
        <f aca="false">IF(ISNUMBER(I10),I10-G10,0)</f>
        <v>0</v>
      </c>
      <c r="K10" s="8" t="n">
        <f aca="false">IF(ISNUMBER(I10),J10/I10,0)</f>
        <v>0</v>
      </c>
      <c r="L10" s="4" t="s">
        <v>140</v>
      </c>
      <c r="M10" s="23" t="n">
        <v>4.4</v>
      </c>
      <c r="N10" s="24" t="n">
        <v>26</v>
      </c>
      <c r="O10" s="25" t="s">
        <v>152</v>
      </c>
      <c r="P10" s="4" t="s">
        <v>153</v>
      </c>
      <c r="Q10" s="26" t="n">
        <v>46303</v>
      </c>
      <c r="R10" s="27" t="n">
        <f aca="false">IF(ISNUMBER(M10),M10*N10,0)</f>
        <v>114.4</v>
      </c>
    </row>
    <row r="11" customFormat="false" ht="120" hidden="false" customHeight="true" outlineLevel="0" collapsed="false">
      <c r="A11" s="4" t="s">
        <v>154</v>
      </c>
      <c r="B11" s="4" t="s">
        <v>155</v>
      </c>
      <c r="C11" s="4" t="s">
        <v>115</v>
      </c>
      <c r="D11" s="4" t="s">
        <v>156</v>
      </c>
      <c r="E11" s="4" t="s">
        <v>132</v>
      </c>
      <c r="F11" s="4" t="s">
        <v>133</v>
      </c>
      <c r="G11" s="21" t="n">
        <v>24.85</v>
      </c>
      <c r="H11" s="22" t="s">
        <v>119</v>
      </c>
      <c r="I11" s="28" t="n">
        <v>34.85</v>
      </c>
      <c r="J11" s="22" t="n">
        <f aca="false">IF(ISNUMBER(I11),I11-G11,0)</f>
        <v>10</v>
      </c>
      <c r="K11" s="8" t="n">
        <f aca="false">IF(ISNUMBER(I11),J11/I11,0)</f>
        <v>0.286944045911047</v>
      </c>
      <c r="L11" s="4" t="s">
        <v>157</v>
      </c>
      <c r="M11" s="23" t="n">
        <v>3</v>
      </c>
      <c r="N11" s="24" t="n">
        <v>1</v>
      </c>
      <c r="O11" s="25" t="s">
        <v>158</v>
      </c>
      <c r="P11" s="4" t="s">
        <v>159</v>
      </c>
      <c r="Q11" s="26" t="n">
        <v>46303</v>
      </c>
      <c r="R11" s="27" t="n">
        <f aca="false">IF(ISNUMBER(M11),M11*N11,0)</f>
        <v>3</v>
      </c>
    </row>
    <row r="12" customFormat="false" ht="120" hidden="false" customHeight="true" outlineLevel="0" collapsed="false">
      <c r="A12" s="4" t="s">
        <v>160</v>
      </c>
      <c r="B12" s="4" t="s">
        <v>155</v>
      </c>
      <c r="C12" s="4" t="s">
        <v>115</v>
      </c>
      <c r="D12" s="4" t="s">
        <v>161</v>
      </c>
      <c r="E12" s="4" t="s">
        <v>132</v>
      </c>
      <c r="F12" s="4" t="s">
        <v>162</v>
      </c>
      <c r="G12" s="21" t="n">
        <v>114.85</v>
      </c>
      <c r="H12" s="22" t="s">
        <v>119</v>
      </c>
      <c r="I12" s="28" t="n">
        <v>129.85</v>
      </c>
      <c r="J12" s="22" t="n">
        <f aca="false">IF(ISNUMBER(I12),I12-G12,0)</f>
        <v>15</v>
      </c>
      <c r="K12" s="8" t="n">
        <f aca="false">IF(ISNUMBER(I12),J12/I12,0)</f>
        <v>0.115517905275318</v>
      </c>
      <c r="L12" s="4" t="s">
        <v>157</v>
      </c>
      <c r="M12" s="23" t="n">
        <v>5</v>
      </c>
      <c r="N12" s="24" t="n">
        <v>1</v>
      </c>
      <c r="O12" s="25" t="s">
        <v>163</v>
      </c>
      <c r="P12" s="4" t="s">
        <v>164</v>
      </c>
      <c r="Q12" s="26" t="n">
        <v>46303</v>
      </c>
      <c r="R12" s="27" t="n">
        <f aca="false">IF(ISNUMBER(M12),M12*N12,0)</f>
        <v>5</v>
      </c>
    </row>
    <row r="13" customFormat="false" ht="120" hidden="false" customHeight="true" outlineLevel="0" collapsed="false">
      <c r="A13" s="4" t="s">
        <v>165</v>
      </c>
      <c r="B13" s="4" t="s">
        <v>155</v>
      </c>
      <c r="C13" s="4" t="s">
        <v>115</v>
      </c>
      <c r="D13" s="4" t="s">
        <v>166</v>
      </c>
      <c r="E13" s="4" t="s">
        <v>132</v>
      </c>
      <c r="F13" s="4" t="s">
        <v>133</v>
      </c>
      <c r="G13" s="21" t="n">
        <v>64.85</v>
      </c>
      <c r="H13" s="22" t="s">
        <v>119</v>
      </c>
      <c r="I13" s="22" t="s">
        <v>120</v>
      </c>
      <c r="J13" s="22" t="n">
        <f aca="false">IF(ISNUMBER(I13),I13-G13,0)</f>
        <v>0</v>
      </c>
      <c r="K13" s="8" t="n">
        <f aca="false">IF(ISNUMBER(I13),J13/I13,0)</f>
        <v>0</v>
      </c>
      <c r="L13" s="4" t="s">
        <v>157</v>
      </c>
      <c r="M13" s="27" t="s">
        <v>127</v>
      </c>
      <c r="N13" s="24" t="n">
        <v>0</v>
      </c>
      <c r="O13" s="25" t="s">
        <v>167</v>
      </c>
      <c r="P13" s="4" t="s">
        <v>168</v>
      </c>
      <c r="Q13" s="26" t="n">
        <v>46303</v>
      </c>
      <c r="R13" s="27" t="n">
        <f aca="false">IF(ISNUMBER(M13),M13*N13,0)</f>
        <v>0</v>
      </c>
    </row>
    <row r="14" customFormat="false" ht="120" hidden="false" customHeight="true" outlineLevel="0" collapsed="false">
      <c r="A14" s="4" t="s">
        <v>169</v>
      </c>
      <c r="B14" s="4" t="s">
        <v>170</v>
      </c>
      <c r="C14" s="4" t="s">
        <v>115</v>
      </c>
      <c r="D14" s="4" t="s">
        <v>171</v>
      </c>
      <c r="E14" s="4" t="s">
        <v>172</v>
      </c>
      <c r="F14" s="4" t="s">
        <v>173</v>
      </c>
      <c r="G14" s="21" t="n">
        <v>169</v>
      </c>
      <c r="H14" s="28" t="n">
        <v>139</v>
      </c>
      <c r="I14" s="28" t="n">
        <v>349</v>
      </c>
      <c r="J14" s="22" t="n">
        <f aca="false">IF(ISNUMBER(I14),I14-G14,0)</f>
        <v>180</v>
      </c>
      <c r="K14" s="8" t="n">
        <f aca="false">IF(ISNUMBER(I14),J14/I14,0)</f>
        <v>0.515759312320917</v>
      </c>
      <c r="L14" s="4" t="s">
        <v>174</v>
      </c>
      <c r="M14" s="23" t="n">
        <v>4.3</v>
      </c>
      <c r="N14" s="24" t="n">
        <v>128</v>
      </c>
      <c r="O14" s="25" t="s">
        <v>175</v>
      </c>
      <c r="P14" s="4" t="s">
        <v>176</v>
      </c>
      <c r="Q14" s="26" t="n">
        <v>46303</v>
      </c>
      <c r="R14" s="27" t="n">
        <f aca="false">IF(ISNUMBER(M14),M14*N14,0)</f>
        <v>550.4</v>
      </c>
    </row>
    <row r="15" customFormat="false" ht="120" hidden="false" customHeight="true" outlineLevel="0" collapsed="false">
      <c r="A15" s="4" t="s">
        <v>177</v>
      </c>
      <c r="B15" s="4" t="s">
        <v>170</v>
      </c>
      <c r="C15" s="4" t="s">
        <v>115</v>
      </c>
      <c r="D15" s="4" t="s">
        <v>178</v>
      </c>
      <c r="E15" s="4" t="s">
        <v>172</v>
      </c>
      <c r="F15" s="4" t="s">
        <v>179</v>
      </c>
      <c r="G15" s="21" t="n">
        <v>139</v>
      </c>
      <c r="H15" s="28" t="n">
        <v>99.99</v>
      </c>
      <c r="I15" s="28" t="n">
        <v>249</v>
      </c>
      <c r="J15" s="22" t="n">
        <f aca="false">IF(ISNUMBER(I15),I15-G15,0)</f>
        <v>110</v>
      </c>
      <c r="K15" s="8" t="n">
        <f aca="false">IF(ISNUMBER(I15),J15/I15,0)</f>
        <v>0.441767068273092</v>
      </c>
      <c r="L15" s="4" t="s">
        <v>174</v>
      </c>
      <c r="M15" s="23" t="n">
        <v>3.7</v>
      </c>
      <c r="N15" s="24" t="n">
        <v>13</v>
      </c>
      <c r="O15" s="25" t="s">
        <v>180</v>
      </c>
      <c r="P15" s="4" t="s">
        <v>181</v>
      </c>
      <c r="Q15" s="26" t="n">
        <v>46303</v>
      </c>
      <c r="R15" s="27" t="n">
        <f aca="false">IF(ISNUMBER(M15),M15*N15,0)</f>
        <v>48.1</v>
      </c>
    </row>
    <row r="16" customFormat="false" ht="120" hidden="false" customHeight="true" outlineLevel="0" collapsed="false">
      <c r="A16" s="4" t="s">
        <v>182</v>
      </c>
      <c r="B16" s="4" t="s">
        <v>170</v>
      </c>
      <c r="C16" s="4" t="s">
        <v>115</v>
      </c>
      <c r="D16" s="4" t="s">
        <v>183</v>
      </c>
      <c r="E16" s="4" t="s">
        <v>184</v>
      </c>
      <c r="F16" s="4" t="s">
        <v>185</v>
      </c>
      <c r="G16" s="21" t="n">
        <v>83.99</v>
      </c>
      <c r="H16" s="28" t="n">
        <v>75.99</v>
      </c>
      <c r="I16" s="28" t="n">
        <v>167.99</v>
      </c>
      <c r="J16" s="22" t="n">
        <f aca="false">IF(ISNUMBER(I16),I16-G16,0)</f>
        <v>84</v>
      </c>
      <c r="K16" s="8" t="n">
        <f aca="false">IF(ISNUMBER(I16),J16/I16,0)</f>
        <v>0.500029763676409</v>
      </c>
      <c r="L16" s="4" t="s">
        <v>186</v>
      </c>
      <c r="M16" s="27" t="s">
        <v>127</v>
      </c>
      <c r="N16" s="24" t="n">
        <v>0</v>
      </c>
      <c r="O16" s="25" t="s">
        <v>187</v>
      </c>
      <c r="P16" s="4" t="s">
        <v>188</v>
      </c>
      <c r="Q16" s="26" t="n">
        <v>46303</v>
      </c>
      <c r="R16" s="27" t="n">
        <f aca="false">IF(ISNUMBER(M16),M16*N16,0)</f>
        <v>0</v>
      </c>
    </row>
    <row r="17" customFormat="false" ht="120" hidden="false" customHeight="true" outlineLevel="0" collapsed="false">
      <c r="A17" s="4" t="s">
        <v>189</v>
      </c>
      <c r="B17" s="4" t="s">
        <v>190</v>
      </c>
      <c r="C17" s="4" t="s">
        <v>115</v>
      </c>
      <c r="D17" s="4" t="s">
        <v>191</v>
      </c>
      <c r="E17" s="4" t="s">
        <v>192</v>
      </c>
      <c r="F17" s="4" t="s">
        <v>193</v>
      </c>
      <c r="G17" s="21" t="n">
        <v>179</v>
      </c>
      <c r="H17" s="22" t="s">
        <v>119</v>
      </c>
      <c r="I17" s="22" t="s">
        <v>120</v>
      </c>
      <c r="J17" s="22" t="n">
        <f aca="false">IF(ISNUMBER(I17),I17-G17,0)</f>
        <v>0</v>
      </c>
      <c r="K17" s="8" t="n">
        <f aca="false">IF(ISNUMBER(I17),J17/I17,0)</f>
        <v>0</v>
      </c>
      <c r="L17" s="4" t="s">
        <v>194</v>
      </c>
      <c r="M17" s="23" t="n">
        <v>4.5</v>
      </c>
      <c r="N17" s="24" t="n">
        <v>206</v>
      </c>
      <c r="O17" s="25" t="s">
        <v>195</v>
      </c>
      <c r="P17" s="4" t="s">
        <v>196</v>
      </c>
      <c r="Q17" s="26" t="n">
        <v>46303</v>
      </c>
      <c r="R17" s="27" t="n">
        <f aca="false">IF(ISNUMBER(M17),M17*N17,0)</f>
        <v>927</v>
      </c>
    </row>
    <row r="18" customFormat="false" ht="120" hidden="false" customHeight="true" outlineLevel="0" collapsed="false">
      <c r="A18" s="4" t="s">
        <v>197</v>
      </c>
      <c r="B18" s="4" t="s">
        <v>190</v>
      </c>
      <c r="C18" s="4" t="s">
        <v>115</v>
      </c>
      <c r="D18" s="4" t="s">
        <v>198</v>
      </c>
      <c r="E18" s="4" t="s">
        <v>199</v>
      </c>
      <c r="F18" s="4" t="s">
        <v>133</v>
      </c>
      <c r="G18" s="21" t="n">
        <v>99.95</v>
      </c>
      <c r="H18" s="22" t="s">
        <v>119</v>
      </c>
      <c r="I18" s="22" t="s">
        <v>120</v>
      </c>
      <c r="J18" s="22" t="n">
        <f aca="false">IF(ISNUMBER(I18),I18-G18,0)</f>
        <v>0</v>
      </c>
      <c r="K18" s="8" t="n">
        <f aca="false">IF(ISNUMBER(I18),J18/I18,0)</f>
        <v>0</v>
      </c>
      <c r="L18" s="4" t="s">
        <v>194</v>
      </c>
      <c r="M18" s="23" t="n">
        <v>4.4</v>
      </c>
      <c r="N18" s="24" t="n">
        <v>284</v>
      </c>
      <c r="O18" s="25" t="s">
        <v>200</v>
      </c>
      <c r="P18" s="4" t="s">
        <v>201</v>
      </c>
      <c r="Q18" s="26" t="n">
        <v>46303</v>
      </c>
      <c r="R18" s="27" t="n">
        <f aca="false">IF(ISNUMBER(M18),M18*N18,0)</f>
        <v>1249.6</v>
      </c>
    </row>
    <row r="19" customFormat="false" ht="120" hidden="false" customHeight="true" outlineLevel="0" collapsed="false">
      <c r="A19" s="4" t="s">
        <v>202</v>
      </c>
      <c r="B19" s="4" t="s">
        <v>190</v>
      </c>
      <c r="C19" s="4" t="s">
        <v>115</v>
      </c>
      <c r="D19" s="4" t="s">
        <v>203</v>
      </c>
      <c r="E19" s="4" t="s">
        <v>204</v>
      </c>
      <c r="F19" s="4" t="s">
        <v>118</v>
      </c>
      <c r="G19" s="21" t="n">
        <v>219</v>
      </c>
      <c r="H19" s="22" t="s">
        <v>119</v>
      </c>
      <c r="I19" s="22" t="s">
        <v>120</v>
      </c>
      <c r="J19" s="22" t="n">
        <f aca="false">IF(ISNUMBER(I19),I19-G19,0)</f>
        <v>0</v>
      </c>
      <c r="K19" s="8" t="n">
        <f aca="false">IF(ISNUMBER(I19),J19/I19,0)</f>
        <v>0</v>
      </c>
      <c r="L19" s="4" t="s">
        <v>194</v>
      </c>
      <c r="M19" s="23" t="n">
        <v>4.9</v>
      </c>
      <c r="N19" s="24" t="n">
        <v>183</v>
      </c>
      <c r="O19" s="25" t="s">
        <v>205</v>
      </c>
      <c r="P19" s="4" t="s">
        <v>206</v>
      </c>
      <c r="Q19" s="26" t="n">
        <v>46303</v>
      </c>
      <c r="R19" s="27" t="n">
        <f aca="false">IF(ISNUMBER(M19),M19*N19,0)</f>
        <v>896.7</v>
      </c>
    </row>
    <row r="21" customFormat="false" ht="15" hidden="false" customHeight="false" outlineLevel="0" collapsed="false">
      <c r="A21" s="29" t="s">
        <v>207</v>
      </c>
    </row>
    <row r="22" customFormat="false" ht="27.75" hidden="false" customHeight="true" outlineLevel="0" collapsed="false">
      <c r="A22" s="13" t="s">
        <v>208</v>
      </c>
      <c r="B22" s="13"/>
      <c r="C22" s="13"/>
      <c r="D22" s="13"/>
      <c r="E22" s="13"/>
      <c r="F22" s="13"/>
      <c r="G22" s="13"/>
      <c r="H22" s="13"/>
    </row>
    <row r="23" customFormat="false" ht="27.75" hidden="false" customHeight="true" outlineLevel="0" collapsed="false">
      <c r="A23" s="13" t="s">
        <v>209</v>
      </c>
      <c r="B23" s="13"/>
      <c r="C23" s="13"/>
      <c r="D23" s="13"/>
      <c r="E23" s="13"/>
      <c r="F23" s="13"/>
      <c r="G23" s="13"/>
      <c r="H23" s="13"/>
    </row>
    <row r="24" customFormat="false" ht="13.5" hidden="false" customHeight="true" outlineLevel="0" collapsed="false">
      <c r="A24" s="13" t="s">
        <v>210</v>
      </c>
      <c r="B24" s="13"/>
      <c r="C24" s="13"/>
      <c r="D24" s="13"/>
      <c r="E24" s="13"/>
      <c r="F24" s="13"/>
      <c r="G24" s="13"/>
      <c r="H24" s="13"/>
    </row>
    <row r="25" customFormat="false" ht="27.75" hidden="false" customHeight="true" outlineLevel="0" collapsed="false">
      <c r="A25" s="13" t="s">
        <v>211</v>
      </c>
      <c r="B25" s="13"/>
      <c r="C25" s="13"/>
      <c r="D25" s="13"/>
      <c r="E25" s="13"/>
      <c r="F25" s="13"/>
      <c r="G25" s="13"/>
      <c r="H25" s="13"/>
    </row>
    <row r="26" customFormat="false" ht="13.5" hidden="false" customHeight="true" outlineLevel="0" collapsed="false">
      <c r="A26" s="13" t="s">
        <v>212</v>
      </c>
      <c r="B26" s="13"/>
      <c r="C26" s="13"/>
      <c r="D26" s="13"/>
      <c r="E26" s="13"/>
      <c r="F26" s="13"/>
      <c r="G26" s="13"/>
      <c r="H26" s="13"/>
    </row>
    <row r="27" customFormat="false" ht="15" hidden="false" customHeight="false" outlineLevel="0" collapsed="false">
      <c r="A27" s="2" t="s">
        <v>213</v>
      </c>
    </row>
  </sheetData>
  <autoFilter ref="A4:R19"/>
  <mergeCells count="5">
    <mergeCell ref="A22:H22"/>
    <mergeCell ref="A23:H23"/>
    <mergeCell ref="A24:H24"/>
    <mergeCell ref="A25:H25"/>
    <mergeCell ref="A26:H26"/>
  </mergeCells>
  <hyperlinks>
    <hyperlink ref="O5" r:id="rId1" display="https://www.kmart.com.au/product/boucle-home-office-chair-43228386/"/>
    <hyperlink ref="O6" r:id="rId2" display="https://www.kmart.com.au/product/sky-office-chair-43682737/"/>
    <hyperlink ref="O7" r:id="rId3" display="https://www.kmart.com.au/product/alfordson-mesh-office-chair-executive-seat-tilt-gaming-racing-computer-grey-110049597/"/>
    <hyperlink ref="O8" r:id="rId4" display="https://www.bunnings.com.au/alfordson-mesh-office-chair-dark-grey_p0508818"/>
    <hyperlink ref="O9" r:id="rId5" display="https://www.bunnings.com.au/alfordson-office-chair-white_p0477986"/>
    <hyperlink ref="O10" r:id="rId6" display="https://www.bunnings.com.au/artiss-black-pu-leather-executive-office-chair_p0215110"/>
    <hyperlink ref="O11" r:id="rId7" display="https://www.bigw.com.au/product/1-alfordson-office-chair/p/9900120141"/>
    <hyperlink ref="O12" r:id="rId8" display="https://www.bigw.com.au/product/alfordson-velvet-office-chair-for-work-mid-back-grey/p/9900116761"/>
    <hyperlink ref="O13" r:id="rId9" display="https://www.bigw.com.au/product/alfordson-mesh-office-chair-racing-ergonomic-computer-chair-all-black/p/9902748573"/>
    <hyperlink ref="O14" r:id="rId10" display="https://www.kogan.com/au/buy/ergolux-plus-ergonomic-mesh-office-chair-with-footrest-black-ergolux/"/>
    <hyperlink ref="O15" r:id="rId11" display="https://www.kogan.com/au/buy/ergolux-core-ergonomic-foam-office-chair-black-ergolux/"/>
    <hyperlink ref="O16" r:id="rId12" display="https://www.kogan.com/au/buy/sel-levede-office-chair-mesh-gaming-executive-tilt-chairs-computer-study-work-seat-of1040-bk/"/>
    <hyperlink ref="O17" r:id="rId13" display="https://www.templeandwebster.com.au/Kylian-Executive-Chair-OIKT1510.html"/>
    <hyperlink ref="O18" r:id="rId14" display="https://www.templeandwebster.com.au/Naomi-Mesh-Office-Chair-ALFD1293.html"/>
    <hyperlink ref="O19" r:id="rId15" display="https://www.templeandwebster.com.au/Holly-Boucle-Office-Chair-TMPL6117.html"/>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6" min="3" style="0" width="14"/>
    <col collapsed="false" customWidth="true" hidden="false" outlineLevel="0" max="7" min="7" style="0" width="18"/>
    <col collapsed="false" customWidth="true" hidden="false" outlineLevel="0" max="8" min="8" style="0" width="14"/>
    <col collapsed="false" customWidth="true" hidden="false" outlineLevel="0" max="10" min="9" style="0" width="18"/>
  </cols>
  <sheetData>
    <row r="1" customFormat="false" ht="17.35" hidden="false" customHeight="false" outlineLevel="0" collapsed="false">
      <c r="A1" s="1" t="s">
        <v>214</v>
      </c>
    </row>
    <row r="4" customFormat="false" ht="23.85" hidden="false" customHeight="false" outlineLevel="0" collapsed="false">
      <c r="A4" s="5" t="s">
        <v>96</v>
      </c>
      <c r="B4" s="5" t="s">
        <v>215</v>
      </c>
      <c r="C4" s="5" t="s">
        <v>216</v>
      </c>
      <c r="D4" s="5" t="s">
        <v>217</v>
      </c>
      <c r="E4" s="5" t="s">
        <v>218</v>
      </c>
      <c r="F4" s="5" t="s">
        <v>219</v>
      </c>
      <c r="G4" s="5" t="s">
        <v>220</v>
      </c>
      <c r="H4" s="5" t="s">
        <v>221</v>
      </c>
      <c r="I4" s="5" t="s">
        <v>222</v>
      </c>
      <c r="J4" s="5" t="s">
        <v>223</v>
      </c>
    </row>
    <row r="5" customFormat="false" ht="15" hidden="false" customHeight="false" outlineLevel="0" collapsed="false">
      <c r="A5" s="3" t="s">
        <v>114</v>
      </c>
      <c r="B5" s="9" t="n">
        <f aca="false">COUNTIF(Q4_Competitors!$B$5:$B$19,A5)</f>
        <v>3</v>
      </c>
      <c r="C5" s="22" t="n">
        <f aca="false">MIN(Q4_Competitors!G5:G7)</f>
        <v>79.85</v>
      </c>
      <c r="D5" s="22" t="n">
        <f aca="false">MEDIAN(Q4_Competitors!G5:G7)</f>
        <v>149</v>
      </c>
      <c r="E5" s="22" t="n">
        <f aca="false">MAX(Q4_Competitors!G5:G7)</f>
        <v>149</v>
      </c>
      <c r="F5" s="22" t="n">
        <f aca="false">AVERAGEIF(Q4_Competitors!$B$5:$B$19,A5,Q4_Competitors!$G$5:$G$19)</f>
        <v>125.95</v>
      </c>
      <c r="G5" s="30" t="n">
        <f aca="false">IFERROR(AVERAGEIF(Q4_Competitors!$B$5:$B$19,A5,Q4_Competitors!$M$5:$M$19),"n/a")</f>
        <v>4.85</v>
      </c>
      <c r="H5" s="31" t="n">
        <f aca="false">SUMIF(Q4_Competitors!$B$5:$B$19,A5,Q4_Competitors!$N$5:$N$19)</f>
        <v>13</v>
      </c>
      <c r="I5" s="9" t="n">
        <f aca="false">COUNTIFS(Q4_Competitors!$B$5:$B$19,A5,Q4_Competitors!$K$5:$K$19,"&gt;0")</f>
        <v>0</v>
      </c>
      <c r="J5" s="30" t="n">
        <f aca="false">SUMIF(Q4_Competitors!$B$5:$B$19,A5,Q4_Competitors!$R$5:$R$19)/SUMIF(Q4_Competitors!$B$5:$B$19,A5,Q4_Competitors!$N$5:$N$19)</f>
        <v>4.72307692307692</v>
      </c>
    </row>
    <row r="6" customFormat="false" ht="15" hidden="false" customHeight="false" outlineLevel="0" collapsed="false">
      <c r="A6" s="3" t="s">
        <v>138</v>
      </c>
      <c r="B6" s="9" t="n">
        <f aca="false">COUNTIF(Q4_Competitors!$B$5:$B$19,A6)</f>
        <v>3</v>
      </c>
      <c r="C6" s="22" t="n">
        <f aca="false">MIN(Q4_Competitors!G8:G10)</f>
        <v>59.85</v>
      </c>
      <c r="D6" s="22" t="n">
        <f aca="false">MEDIAN(Q4_Competitors!G8:G10)</f>
        <v>109.85</v>
      </c>
      <c r="E6" s="22" t="n">
        <f aca="false">MAX(Q4_Competitors!G8:G10)</f>
        <v>135.66</v>
      </c>
      <c r="F6" s="22" t="n">
        <f aca="false">AVERAGEIF(Q4_Competitors!$B$5:$B$19,A6,Q4_Competitors!$G$5:$G$19)</f>
        <v>101.786666666667</v>
      </c>
      <c r="G6" s="30" t="n">
        <f aca="false">IFERROR(AVERAGEIF(Q4_Competitors!$B$5:$B$19,A6,Q4_Competitors!$M$5:$M$19),"n/a")</f>
        <v>3.73333333333333</v>
      </c>
      <c r="H6" s="31" t="n">
        <f aca="false">SUMIF(Q4_Competitors!$B$5:$B$19,A6,Q4_Competitors!$N$5:$N$19)</f>
        <v>92</v>
      </c>
      <c r="I6" s="9" t="n">
        <f aca="false">COUNTIFS(Q4_Competitors!$B$5:$B$19,A6,Q4_Competitors!$K$5:$K$19,"&gt;0")</f>
        <v>0</v>
      </c>
      <c r="J6" s="30" t="n">
        <f aca="false">SUMIF(Q4_Competitors!$B$5:$B$19,A6,Q4_Competitors!$R$5:$R$19)/SUMIF(Q4_Competitors!$B$5:$B$19,A6,Q4_Competitors!$N$5:$N$19)</f>
        <v>3.74782608695652</v>
      </c>
    </row>
    <row r="7" customFormat="false" ht="15" hidden="false" customHeight="false" outlineLevel="0" collapsed="false">
      <c r="A7" s="3" t="s">
        <v>155</v>
      </c>
      <c r="B7" s="9" t="n">
        <f aca="false">COUNTIF(Q4_Competitors!$B$5:$B$19,A7)</f>
        <v>3</v>
      </c>
      <c r="C7" s="22" t="n">
        <f aca="false">MIN(Q4_Competitors!G11:G13)</f>
        <v>24.85</v>
      </c>
      <c r="D7" s="22" t="n">
        <f aca="false">MEDIAN(Q4_Competitors!G11:G13)</f>
        <v>64.85</v>
      </c>
      <c r="E7" s="22" t="n">
        <f aca="false">MAX(Q4_Competitors!G11:G13)</f>
        <v>114.85</v>
      </c>
      <c r="F7" s="22" t="n">
        <f aca="false">AVERAGEIF(Q4_Competitors!$B$5:$B$19,A7,Q4_Competitors!$G$5:$G$19)</f>
        <v>68.1833333333333</v>
      </c>
      <c r="G7" s="30" t="n">
        <f aca="false">IFERROR(AVERAGEIF(Q4_Competitors!$B$5:$B$19,A7,Q4_Competitors!$M$5:$M$19),"n/a")</f>
        <v>4</v>
      </c>
      <c r="H7" s="31" t="n">
        <f aca="false">SUMIF(Q4_Competitors!$B$5:$B$19,A7,Q4_Competitors!$N$5:$N$19)</f>
        <v>2</v>
      </c>
      <c r="I7" s="9" t="n">
        <f aca="false">COUNTIFS(Q4_Competitors!$B$5:$B$19,A7,Q4_Competitors!$K$5:$K$19,"&gt;0")</f>
        <v>2</v>
      </c>
      <c r="J7" s="30" t="n">
        <f aca="false">SUMIF(Q4_Competitors!$B$5:$B$19,A7,Q4_Competitors!$R$5:$R$19)/SUMIF(Q4_Competitors!$B$5:$B$19,A7,Q4_Competitors!$N$5:$N$19)</f>
        <v>4</v>
      </c>
    </row>
    <row r="8" customFormat="false" ht="15" hidden="false" customHeight="false" outlineLevel="0" collapsed="false">
      <c r="A8" s="3" t="s">
        <v>170</v>
      </c>
      <c r="B8" s="9" t="n">
        <f aca="false">COUNTIF(Q4_Competitors!$B$5:$B$19,A8)</f>
        <v>3</v>
      </c>
      <c r="C8" s="22" t="n">
        <f aca="false">MIN(Q4_Competitors!G14:G16)</f>
        <v>83.99</v>
      </c>
      <c r="D8" s="22" t="n">
        <f aca="false">MEDIAN(Q4_Competitors!G14:G16)</f>
        <v>139</v>
      </c>
      <c r="E8" s="22" t="n">
        <f aca="false">MAX(Q4_Competitors!G14:G16)</f>
        <v>169</v>
      </c>
      <c r="F8" s="22" t="n">
        <f aca="false">AVERAGEIF(Q4_Competitors!$B$5:$B$19,A8,Q4_Competitors!$G$5:$G$19)</f>
        <v>130.663333333333</v>
      </c>
      <c r="G8" s="30" t="n">
        <f aca="false">IFERROR(AVERAGEIF(Q4_Competitors!$B$5:$B$19,A8,Q4_Competitors!$M$5:$M$19),"n/a")</f>
        <v>4</v>
      </c>
      <c r="H8" s="31" t="n">
        <f aca="false">SUMIF(Q4_Competitors!$B$5:$B$19,A8,Q4_Competitors!$N$5:$N$19)</f>
        <v>141</v>
      </c>
      <c r="I8" s="9" t="n">
        <f aca="false">COUNTIFS(Q4_Competitors!$B$5:$B$19,A8,Q4_Competitors!$K$5:$K$19,"&gt;0")</f>
        <v>3</v>
      </c>
      <c r="J8" s="30" t="n">
        <f aca="false">SUMIF(Q4_Competitors!$B$5:$B$19,A8,Q4_Competitors!$R$5:$R$19)/SUMIF(Q4_Competitors!$B$5:$B$19,A8,Q4_Competitors!$N$5:$N$19)</f>
        <v>4.24468085106383</v>
      </c>
    </row>
    <row r="9" customFormat="false" ht="15" hidden="false" customHeight="false" outlineLevel="0" collapsed="false">
      <c r="A9" s="3" t="s">
        <v>190</v>
      </c>
      <c r="B9" s="9" t="n">
        <f aca="false">COUNTIF(Q4_Competitors!$B$5:$B$19,A9)</f>
        <v>3</v>
      </c>
      <c r="C9" s="22" t="n">
        <f aca="false">MIN(Q4_Competitors!G17:G19)</f>
        <v>99.95</v>
      </c>
      <c r="D9" s="22" t="n">
        <f aca="false">MEDIAN(Q4_Competitors!G17:G19)</f>
        <v>179</v>
      </c>
      <c r="E9" s="22" t="n">
        <f aca="false">MAX(Q4_Competitors!G17:G19)</f>
        <v>219</v>
      </c>
      <c r="F9" s="22" t="n">
        <f aca="false">AVERAGEIF(Q4_Competitors!$B$5:$B$19,A9,Q4_Competitors!$G$5:$G$19)</f>
        <v>165.983333333333</v>
      </c>
      <c r="G9" s="30" t="n">
        <f aca="false">IFERROR(AVERAGEIF(Q4_Competitors!$B$5:$B$19,A9,Q4_Competitors!$M$5:$M$19),"n/a")</f>
        <v>4.6</v>
      </c>
      <c r="H9" s="31" t="n">
        <f aca="false">SUMIF(Q4_Competitors!$B$5:$B$19,A9,Q4_Competitors!$N$5:$N$19)</f>
        <v>673</v>
      </c>
      <c r="I9" s="9" t="n">
        <f aca="false">COUNTIFS(Q4_Competitors!$B$5:$B$19,A9,Q4_Competitors!$K$5:$K$19,"&gt;0")</f>
        <v>0</v>
      </c>
      <c r="J9" s="30" t="n">
        <f aca="false">SUMIF(Q4_Competitors!$B$5:$B$19,A9,Q4_Competitors!$R$5:$R$19)/SUMIF(Q4_Competitors!$B$5:$B$19,A9,Q4_Competitors!$N$5:$N$19)</f>
        <v>4.5665676077266</v>
      </c>
    </row>
    <row r="10" customFormat="false" ht="15" hidden="false" customHeight="false" outlineLevel="0" collapsed="false">
      <c r="A10" s="10" t="s">
        <v>224</v>
      </c>
      <c r="B10" s="19" t="n">
        <f aca="false">SUM(B5:B9)</f>
        <v>15</v>
      </c>
      <c r="C10" s="17" t="n">
        <f aca="false">MIN(Q4_Competitors!$G$5:$G$19)</f>
        <v>24.85</v>
      </c>
      <c r="D10" s="17" t="n">
        <f aca="false">MEDIAN(Q4_Competitors!$G$5:$G$19)</f>
        <v>114.85</v>
      </c>
      <c r="E10" s="17" t="n">
        <f aca="false">MAX(Q4_Competitors!$G$5:$G$19)</f>
        <v>219</v>
      </c>
      <c r="F10" s="17" t="n">
        <f aca="false">AVERAGE(Q4_Competitors!$G$5:$G$19)</f>
        <v>118.513333333333</v>
      </c>
      <c r="G10" s="32" t="n">
        <f aca="false">AVERAGE(Q4_Competitors!$M$5:$M$19)</f>
        <v>4.225</v>
      </c>
      <c r="H10" s="33" t="n">
        <f aca="false">SUM(H5:H9)</f>
        <v>921</v>
      </c>
      <c r="I10" s="19" t="n">
        <f aca="false">SUM(I5:I9)</f>
        <v>5</v>
      </c>
      <c r="J10" s="32" t="n">
        <f aca="false">SUM(Q4_Competitors!$R$5:$R$19)/SUM(Q4_Competitors!$N$5:$N$19)</f>
        <v>4.43648208469055</v>
      </c>
    </row>
    <row r="12" customFormat="false" ht="15" hidden="false" customHeight="false" outlineLevel="0" collapsed="false">
      <c r="A12" s="29" t="s">
        <v>225</v>
      </c>
    </row>
    <row r="13" customFormat="false" ht="15" hidden="false" customHeight="false" outlineLevel="0" collapsed="false">
      <c r="A13" s="5" t="s">
        <v>96</v>
      </c>
      <c r="B13" s="5" t="s">
        <v>226</v>
      </c>
      <c r="C13" s="5" t="s">
        <v>227</v>
      </c>
      <c r="D13" s="5" t="s">
        <v>228</v>
      </c>
      <c r="E13" s="5" t="s">
        <v>229</v>
      </c>
    </row>
    <row r="14" customFormat="false" ht="15" hidden="false" customHeight="false" outlineLevel="0" collapsed="false">
      <c r="A14" s="4" t="str">
        <f aca="false">INDEX(Q4_Competitors!$B$5:$B$19,MATCH(B14,Q4_Competitors!$A$5:$A$19,0))</f>
        <v>Big W</v>
      </c>
      <c r="B14" s="4" t="s">
        <v>154</v>
      </c>
      <c r="C14" s="22" t="n">
        <f aca="false">INDEX(Q4_Competitors!$G$5:$G$19,MATCH(B14,Q4_Competitors!$A$5:$A$19,0))</f>
        <v>24.85</v>
      </c>
      <c r="D14" s="27" t="n">
        <f aca="false">INDEX(Q4_Competitors!$M$5:$M$19,MATCH(B14,Q4_Competitors!$A$5:$A$19,0))</f>
        <v>3</v>
      </c>
      <c r="E14" s="31" t="n">
        <f aca="false">INDEX(Q4_Competitors!$N$5:$N$19,MATCH(B14,Q4_Competitors!$A$5:$A$19,0))</f>
        <v>1</v>
      </c>
    </row>
    <row r="15" customFormat="false" ht="15" hidden="false" customHeight="false" outlineLevel="0" collapsed="false">
      <c r="A15" s="4" t="str">
        <f aca="false">INDEX(Q4_Competitors!$B$5:$B$19,MATCH(B15,Q4_Competitors!$A$5:$A$19,0))</f>
        <v>Bunnings</v>
      </c>
      <c r="B15" s="4" t="s">
        <v>137</v>
      </c>
      <c r="C15" s="22" t="n">
        <f aca="false">INDEX(Q4_Competitors!$G$5:$G$19,MATCH(B15,Q4_Competitors!$A$5:$A$19,0))</f>
        <v>59.85</v>
      </c>
      <c r="D15" s="27" t="n">
        <f aca="false">INDEX(Q4_Competitors!$M$5:$M$19,MATCH(B15,Q4_Competitors!$A$5:$A$19,0))</f>
        <v>2.9</v>
      </c>
      <c r="E15" s="31" t="n">
        <f aca="false">INDEX(Q4_Competitors!$N$5:$N$19,MATCH(B15,Q4_Competitors!$A$5:$A$19,0))</f>
        <v>27</v>
      </c>
    </row>
    <row r="16" customFormat="false" ht="15" hidden="false" customHeight="false" outlineLevel="0" collapsed="false">
      <c r="A16" s="4" t="str">
        <f aca="false">INDEX(Q4_Competitors!$B$5:$B$19,MATCH(B16,Q4_Competitors!$A$5:$A$19,0))</f>
        <v>Big W</v>
      </c>
      <c r="B16" s="4" t="s">
        <v>165</v>
      </c>
      <c r="C16" s="22" t="n">
        <f aca="false">INDEX(Q4_Competitors!$G$5:$G$19,MATCH(B16,Q4_Competitors!$A$5:$A$19,0))</f>
        <v>64.85</v>
      </c>
      <c r="D16" s="27" t="str">
        <f aca="false">INDEX(Q4_Competitors!$M$5:$M$19,MATCH(B16,Q4_Competitors!$A$5:$A$19,0))</f>
        <v>no rating</v>
      </c>
      <c r="E16" s="31" t="n">
        <f aca="false">INDEX(Q4_Competitors!$N$5:$N$19,MATCH(B16,Q4_Competitors!$A$5:$A$19,0))</f>
        <v>0</v>
      </c>
    </row>
    <row r="17" customFormat="false" ht="15" hidden="false" customHeight="false" outlineLevel="0" collapsed="false">
      <c r="A17" s="4" t="str">
        <f aca="false">INDEX(Q4_Competitors!$B$5:$B$19,MATCH(B17,Q4_Competitors!$A$5:$A$19,0))</f>
        <v>Kmart</v>
      </c>
      <c r="B17" s="4" t="s">
        <v>130</v>
      </c>
      <c r="C17" s="22" t="n">
        <f aca="false">INDEX(Q4_Competitors!$G$5:$G$19,MATCH(B17,Q4_Competitors!$A$5:$A$19,0))</f>
        <v>79.85</v>
      </c>
      <c r="D17" s="27" t="n">
        <f aca="false">INDEX(Q4_Competitors!$M$5:$M$19,MATCH(B17,Q4_Competitors!$A$5:$A$19,0))</f>
        <v>5</v>
      </c>
      <c r="E17" s="31" t="n">
        <f aca="false">INDEX(Q4_Competitors!$N$5:$N$19,MATCH(B17,Q4_Competitors!$A$5:$A$19,0))</f>
        <v>1</v>
      </c>
    </row>
    <row r="18" customFormat="false" ht="15" hidden="false" customHeight="false" outlineLevel="0" collapsed="false">
      <c r="A18" s="4" t="str">
        <f aca="false">INDEX(Q4_Competitors!$B$5:$B$19,MATCH(B18,Q4_Competitors!$A$5:$A$19,0))</f>
        <v>Kogan</v>
      </c>
      <c r="B18" s="4" t="s">
        <v>182</v>
      </c>
      <c r="C18" s="22" t="n">
        <f aca="false">INDEX(Q4_Competitors!$G$5:$G$19,MATCH(B18,Q4_Competitors!$A$5:$A$19,0))</f>
        <v>83.99</v>
      </c>
      <c r="D18" s="27" t="str">
        <f aca="false">INDEX(Q4_Competitors!$M$5:$M$19,MATCH(B18,Q4_Competitors!$A$5:$A$19,0))</f>
        <v>no rating</v>
      </c>
      <c r="E18" s="31" t="n">
        <f aca="false">INDEX(Q4_Competitors!$N$5:$N$19,MATCH(B18,Q4_Competitors!$A$5:$A$19,0))</f>
        <v>0</v>
      </c>
    </row>
    <row r="19" customFormat="false" ht="15" hidden="false" customHeight="false" outlineLevel="0" collapsed="false">
      <c r="A19" s="4" t="str">
        <f aca="false">INDEX(Q4_Competitors!$B$5:$B$19,MATCH(B19,Q4_Competitors!$A$5:$A$19,0))</f>
        <v>Temple &amp; Webster</v>
      </c>
      <c r="B19" s="4" t="s">
        <v>197</v>
      </c>
      <c r="C19" s="22" t="n">
        <f aca="false">INDEX(Q4_Competitors!$G$5:$G$19,MATCH(B19,Q4_Competitors!$A$5:$A$19,0))</f>
        <v>99.95</v>
      </c>
      <c r="D19" s="27" t="n">
        <f aca="false">INDEX(Q4_Competitors!$M$5:$M$19,MATCH(B19,Q4_Competitors!$A$5:$A$19,0))</f>
        <v>4.4</v>
      </c>
      <c r="E19" s="31" t="n">
        <f aca="false">INDEX(Q4_Competitors!$N$5:$N$19,MATCH(B19,Q4_Competitors!$A$5:$A$19,0))</f>
        <v>284</v>
      </c>
    </row>
    <row r="20" customFormat="false" ht="15" hidden="false" customHeight="false" outlineLevel="0" collapsed="false">
      <c r="A20" s="4" t="str">
        <f aca="false">INDEX(Q4_Competitors!$B$5:$B$19,MATCH(B20,Q4_Competitors!$A$5:$A$19,0))</f>
        <v>Kogan</v>
      </c>
      <c r="B20" s="4" t="s">
        <v>169</v>
      </c>
      <c r="C20" s="22" t="n">
        <f aca="false">INDEX(Q4_Competitors!$G$5:$G$19,MATCH(B20,Q4_Competitors!$A$5:$A$19,0))</f>
        <v>169</v>
      </c>
      <c r="D20" s="27" t="n">
        <f aca="false">INDEX(Q4_Competitors!$M$5:$M$19,MATCH(B20,Q4_Competitors!$A$5:$A$19,0))</f>
        <v>4.3</v>
      </c>
      <c r="E20" s="31" t="n">
        <f aca="false">INDEX(Q4_Competitors!$N$5:$N$19,MATCH(B20,Q4_Competitors!$A$5:$A$19,0))</f>
        <v>128</v>
      </c>
    </row>
    <row r="21" customFormat="false" ht="15" hidden="false" customHeight="false" outlineLevel="0" collapsed="false">
      <c r="A21" s="10" t="s">
        <v>230</v>
      </c>
      <c r="C21" s="17" t="n">
        <f aca="false">MIN(C14:C20)</f>
        <v>24.85</v>
      </c>
      <c r="D21" s="17" t="n">
        <f aca="false">MEDIAN(C14:C20)</f>
        <v>79.85</v>
      </c>
      <c r="E21" s="17" t="n">
        <f aca="false">MAX(C14:C20)</f>
        <v>169</v>
      </c>
    </row>
    <row r="22" customFormat="false" ht="23.85" hidden="false" customHeight="false" outlineLevel="0" collapsed="false">
      <c r="A22" s="34" t="s">
        <v>231</v>
      </c>
    </row>
    <row r="24" customFormat="false" ht="15" hidden="false" customHeight="false" outlineLevel="0" collapsed="false">
      <c r="A24" s="29" t="s">
        <v>232</v>
      </c>
    </row>
    <row r="25" customFormat="false" ht="15" hidden="false" customHeight="false" outlineLevel="0" collapsed="false">
      <c r="A25" s="5" t="s">
        <v>233</v>
      </c>
      <c r="B25" s="5" t="s">
        <v>234</v>
      </c>
    </row>
    <row r="26" customFormat="false" ht="15" hidden="false" customHeight="false" outlineLevel="0" collapsed="false">
      <c r="A26" s="4" t="s">
        <v>235</v>
      </c>
      <c r="B26" s="8" t="n">
        <f aca="false">AVERAGEIF(Q4_Competitors!$K$5:$K$19,"&gt;0")</f>
        <v>0.372003619091357</v>
      </c>
    </row>
    <row r="27" customFormat="false" ht="15" hidden="false" customHeight="false" outlineLevel="0" collapsed="false">
      <c r="A27" s="4" t="s">
        <v>236</v>
      </c>
      <c r="B27" s="8" t="n">
        <f aca="false">MAX(Q4_Competitors!$K$5:$K$19)</f>
        <v>0.515759312320917</v>
      </c>
    </row>
    <row r="28" customFormat="false" ht="15" hidden="false" customHeight="false" outlineLevel="0" collapsed="false">
      <c r="A28" s="4" t="s">
        <v>237</v>
      </c>
      <c r="B28" s="9" t="n">
        <f aca="false">COUNTIF(Q4_Competitors!$K$5:$K$19,0)</f>
        <v>10</v>
      </c>
    </row>
    <row r="29" customFormat="false" ht="15" hidden="false" customHeight="false" outlineLevel="0" collapsed="false">
      <c r="A29" s="4" t="s">
        <v>238</v>
      </c>
      <c r="B29" s="8" t="n">
        <f aca="false">AVERAGE(Q4_Competitors!K14:K16)</f>
        <v>0.48585204809014</v>
      </c>
    </row>
    <row r="30" customFormat="false" ht="15" hidden="false" customHeight="false" outlineLevel="0" collapsed="false">
      <c r="A30" s="4" t="s">
        <v>239</v>
      </c>
      <c r="B30" s="8" t="n">
        <f aca="false">AVERAGE(Q4_Competitors!K11:K13)</f>
        <v>0.134153983728788</v>
      </c>
    </row>
    <row r="32" customFormat="false" ht="23.85" hidden="false" customHeight="false" outlineLevel="0" collapsed="false">
      <c r="A32" s="3" t="s">
        <v>240</v>
      </c>
      <c r="B32" s="22" t="n">
        <f aca="false">AVERAGE(Q4_Competitors!G14-Q4_Competitors!H14,Q4_Competitors!G15-Q4_Competitors!H15,Q4_Competitors!G16-Q4_Competitors!H16)</f>
        <v>25.67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52"/>
    <col collapsed="false" customWidth="true" hidden="false" outlineLevel="0" max="6" min="5" style="0" width="12"/>
    <col collapsed="false" customWidth="true" hidden="false" outlineLevel="0" max="7" min="7" style="0" width="60"/>
  </cols>
  <sheetData>
    <row r="1" customFormat="false" ht="17.35" hidden="false" customHeight="false" outlineLevel="0" collapsed="false">
      <c r="A1" s="1" t="s">
        <v>241</v>
      </c>
    </row>
    <row r="2" customFormat="false" ht="15" hidden="false" customHeight="false" outlineLevel="0" collapsed="false">
      <c r="A2" s="2" t="s">
        <v>242</v>
      </c>
    </row>
    <row r="4" customFormat="false" ht="15" hidden="false" customHeight="false" outlineLevel="0" collapsed="false">
      <c r="A4" s="5" t="s">
        <v>243</v>
      </c>
      <c r="B4" s="5" t="s">
        <v>244</v>
      </c>
      <c r="C4" s="5" t="s">
        <v>245</v>
      </c>
      <c r="D4" s="5" t="s">
        <v>246</v>
      </c>
    </row>
    <row r="5" customFormat="false" ht="21.75" hidden="false" customHeight="true" outlineLevel="0" collapsed="false">
      <c r="A5" s="3" t="s">
        <v>247</v>
      </c>
      <c r="B5" s="4" t="s">
        <v>248</v>
      </c>
      <c r="C5" s="4" t="s">
        <v>249</v>
      </c>
      <c r="D5" s="4" t="s">
        <v>250</v>
      </c>
    </row>
    <row r="6" customFormat="false" ht="105" hidden="false" customHeight="true" outlineLevel="0" collapsed="false">
      <c r="A6" s="3" t="s">
        <v>251</v>
      </c>
      <c r="B6" s="4" t="s">
        <v>252</v>
      </c>
      <c r="C6" s="4" t="s">
        <v>253</v>
      </c>
      <c r="D6" s="4" t="s">
        <v>254</v>
      </c>
    </row>
    <row r="7" customFormat="false" ht="21.75" hidden="false" customHeight="true" outlineLevel="0" collapsed="false">
      <c r="A7" s="3" t="s">
        <v>255</v>
      </c>
      <c r="B7" s="17" t="n">
        <f aca="false">D32</f>
        <v>76.975</v>
      </c>
      <c r="C7" s="17" t="n">
        <f aca="false">D33</f>
        <v>63.665</v>
      </c>
      <c r="D7" s="17" t="n">
        <f aca="false">D34</f>
        <v>130.475</v>
      </c>
    </row>
    <row r="8" customFormat="false" ht="105" hidden="false" customHeight="true" outlineLevel="0" collapsed="false">
      <c r="A8" s="3" t="s">
        <v>256</v>
      </c>
      <c r="B8" s="4" t="s">
        <v>257</v>
      </c>
      <c r="C8" s="4" t="s">
        <v>258</v>
      </c>
      <c r="D8" s="4" t="s">
        <v>259</v>
      </c>
    </row>
    <row r="9" customFormat="false" ht="105" hidden="false" customHeight="true" outlineLevel="0" collapsed="false">
      <c r="A9" s="3" t="s">
        <v>260</v>
      </c>
      <c r="B9" s="4" t="s">
        <v>261</v>
      </c>
      <c r="C9" s="4" t="s">
        <v>262</v>
      </c>
      <c r="D9" s="4" t="s">
        <v>263</v>
      </c>
    </row>
    <row r="10" customFormat="false" ht="105" hidden="false" customHeight="true" outlineLevel="0" collapsed="false">
      <c r="A10" s="3" t="s">
        <v>264</v>
      </c>
      <c r="B10" s="4" t="s">
        <v>265</v>
      </c>
      <c r="C10" s="4" t="s">
        <v>266</v>
      </c>
      <c r="D10" s="4" t="s">
        <v>267</v>
      </c>
    </row>
    <row r="11" customFormat="false" ht="105" hidden="false" customHeight="true" outlineLevel="0" collapsed="false">
      <c r="A11" s="3" t="s">
        <v>268</v>
      </c>
      <c r="B11" s="4" t="s">
        <v>269</v>
      </c>
      <c r="C11" s="4" t="s">
        <v>270</v>
      </c>
      <c r="D11" s="4" t="s">
        <v>271</v>
      </c>
    </row>
    <row r="12" customFormat="false" ht="105" hidden="false" customHeight="true" outlineLevel="0" collapsed="false">
      <c r="A12" s="3" t="s">
        <v>272</v>
      </c>
      <c r="B12" s="4" t="s">
        <v>273</v>
      </c>
      <c r="C12" s="4" t="s">
        <v>274</v>
      </c>
      <c r="D12" s="4" t="s">
        <v>275</v>
      </c>
    </row>
    <row r="13" customFormat="false" ht="105" hidden="false" customHeight="true" outlineLevel="0" collapsed="false">
      <c r="A13" s="3" t="s">
        <v>276</v>
      </c>
      <c r="B13" s="4" t="s">
        <v>277</v>
      </c>
      <c r="C13" s="4" t="s">
        <v>278</v>
      </c>
      <c r="D13" s="4" t="s">
        <v>279</v>
      </c>
    </row>
    <row r="15" customFormat="false" ht="35.05" hidden="false" customHeight="false" outlineLevel="0" collapsed="false">
      <c r="A15" s="29" t="s">
        <v>280</v>
      </c>
    </row>
    <row r="16" customFormat="false" ht="15" hidden="false" customHeight="false" outlineLevel="0" collapsed="false">
      <c r="A16" s="5" t="s">
        <v>281</v>
      </c>
      <c r="B16" s="5" t="s">
        <v>282</v>
      </c>
      <c r="C16" s="5" t="s">
        <v>283</v>
      </c>
      <c r="D16" s="5" t="s">
        <v>284</v>
      </c>
      <c r="E16" s="5" t="s">
        <v>228</v>
      </c>
      <c r="F16" s="5" t="s">
        <v>229</v>
      </c>
      <c r="G16" s="5" t="s">
        <v>285</v>
      </c>
    </row>
    <row r="17" customFormat="false" ht="23.85" hidden="false" customHeight="false" outlineLevel="0" collapsed="false">
      <c r="A17" s="4" t="s">
        <v>286</v>
      </c>
      <c r="B17" s="4" t="s">
        <v>287</v>
      </c>
      <c r="C17" s="21" t="n">
        <v>69</v>
      </c>
      <c r="D17" s="22" t="s">
        <v>120</v>
      </c>
      <c r="E17" s="27" t="n">
        <v>4</v>
      </c>
      <c r="F17" s="24" t="n">
        <v>24</v>
      </c>
      <c r="G17" s="25" t="s">
        <v>288</v>
      </c>
    </row>
    <row r="18" customFormat="false" ht="35.05" hidden="false" customHeight="false" outlineLevel="0" collapsed="false">
      <c r="A18" s="4" t="s">
        <v>286</v>
      </c>
      <c r="B18" s="4" t="s">
        <v>289</v>
      </c>
      <c r="C18" s="21" t="n">
        <v>84.95</v>
      </c>
      <c r="D18" s="22" t="s">
        <v>120</v>
      </c>
      <c r="E18" s="27" t="n">
        <v>4.6</v>
      </c>
      <c r="F18" s="24" t="n">
        <v>217</v>
      </c>
      <c r="G18" s="25" t="s">
        <v>290</v>
      </c>
    </row>
    <row r="19" customFormat="false" ht="23.85" hidden="false" customHeight="false" outlineLevel="0" collapsed="false">
      <c r="A19" s="4" t="s">
        <v>291</v>
      </c>
      <c r="B19" s="4" t="s">
        <v>292</v>
      </c>
      <c r="C19" s="21" t="n">
        <v>150.99</v>
      </c>
      <c r="D19" s="22" t="n">
        <v>251.99</v>
      </c>
      <c r="E19" s="27" t="s">
        <v>127</v>
      </c>
      <c r="F19" s="24" t="n">
        <v>0</v>
      </c>
      <c r="G19" s="25" t="s">
        <v>293</v>
      </c>
    </row>
    <row r="20" customFormat="false" ht="23.85" hidden="false" customHeight="false" outlineLevel="0" collapsed="false">
      <c r="A20" s="4" t="s">
        <v>291</v>
      </c>
      <c r="B20" s="4" t="s">
        <v>294</v>
      </c>
      <c r="C20" s="21" t="n">
        <v>42.85</v>
      </c>
      <c r="D20" s="22" t="n">
        <v>199.85</v>
      </c>
      <c r="E20" s="27" t="s">
        <v>127</v>
      </c>
      <c r="F20" s="24" t="n">
        <v>0</v>
      </c>
      <c r="G20" s="25" t="s">
        <v>295</v>
      </c>
    </row>
    <row r="21" customFormat="false" ht="15" hidden="false" customHeight="false" outlineLevel="0" collapsed="false">
      <c r="A21" s="4" t="s">
        <v>291</v>
      </c>
      <c r="B21" s="4" t="s">
        <v>296</v>
      </c>
      <c r="C21" s="21" t="n">
        <v>82.43</v>
      </c>
      <c r="D21" s="22" t="s">
        <v>120</v>
      </c>
      <c r="E21" s="27" t="n">
        <v>3.6</v>
      </c>
      <c r="F21" s="24" t="n">
        <v>5</v>
      </c>
      <c r="G21" s="25" t="s">
        <v>297</v>
      </c>
    </row>
    <row r="22" customFormat="false" ht="15" hidden="false" customHeight="false" outlineLevel="0" collapsed="false">
      <c r="A22" s="4" t="s">
        <v>291</v>
      </c>
      <c r="B22" s="4" t="s">
        <v>298</v>
      </c>
      <c r="C22" s="21" t="n">
        <v>44.9</v>
      </c>
      <c r="D22" s="22" t="s">
        <v>120</v>
      </c>
      <c r="E22" s="27" t="s">
        <v>127</v>
      </c>
      <c r="F22" s="24" t="n">
        <v>0</v>
      </c>
      <c r="G22" s="25" t="s">
        <v>299</v>
      </c>
    </row>
    <row r="23" customFormat="false" ht="23.85" hidden="false" customHeight="false" outlineLevel="0" collapsed="false">
      <c r="A23" s="4" t="s">
        <v>300</v>
      </c>
      <c r="B23" s="4" t="s">
        <v>301</v>
      </c>
      <c r="C23" s="21" t="n">
        <v>81.95</v>
      </c>
      <c r="D23" s="22" t="n">
        <v>104.99</v>
      </c>
      <c r="E23" s="27" t="n">
        <v>4</v>
      </c>
      <c r="F23" s="24" t="n">
        <v>24</v>
      </c>
      <c r="G23" s="25" t="s">
        <v>302</v>
      </c>
    </row>
    <row r="24" customFormat="false" ht="15" hidden="false" customHeight="false" outlineLevel="0" collapsed="false">
      <c r="A24" s="4" t="s">
        <v>300</v>
      </c>
      <c r="B24" s="4" t="s">
        <v>303</v>
      </c>
      <c r="C24" s="21" t="n">
        <v>59</v>
      </c>
      <c r="D24" s="22" t="s">
        <v>120</v>
      </c>
      <c r="E24" s="27" t="n">
        <v>4.8</v>
      </c>
      <c r="F24" s="24" t="n">
        <v>38</v>
      </c>
      <c r="G24" s="25" t="s">
        <v>304</v>
      </c>
    </row>
    <row r="25" customFormat="false" ht="15" hidden="false" customHeight="false" outlineLevel="0" collapsed="false">
      <c r="A25" s="4" t="s">
        <v>300</v>
      </c>
      <c r="B25" s="4" t="s">
        <v>305</v>
      </c>
      <c r="C25" s="21" t="n">
        <v>179</v>
      </c>
      <c r="D25" s="22" t="s">
        <v>120</v>
      </c>
      <c r="E25" s="27" t="n">
        <v>4.7</v>
      </c>
      <c r="F25" s="24" t="n">
        <v>61</v>
      </c>
      <c r="G25" s="25" t="s">
        <v>304</v>
      </c>
    </row>
    <row r="26" customFormat="false" ht="15" hidden="false" customHeight="false" outlineLevel="0" collapsed="false">
      <c r="A26" s="4" t="s">
        <v>300</v>
      </c>
      <c r="B26" s="4" t="s">
        <v>306</v>
      </c>
      <c r="C26" s="21" t="n">
        <v>339</v>
      </c>
      <c r="D26" s="22" t="s">
        <v>120</v>
      </c>
      <c r="E26" s="27" t="n">
        <v>4.7</v>
      </c>
      <c r="F26" s="24" t="n">
        <v>140</v>
      </c>
      <c r="G26" s="25" t="s">
        <v>304</v>
      </c>
    </row>
    <row r="27" customFormat="false" ht="15" hidden="false" customHeight="false" outlineLevel="0" collapsed="false">
      <c r="A27" s="4" t="s">
        <v>300</v>
      </c>
      <c r="B27" s="4" t="s">
        <v>307</v>
      </c>
      <c r="C27" s="21" t="n">
        <v>255</v>
      </c>
      <c r="D27" s="22" t="s">
        <v>120</v>
      </c>
      <c r="E27" s="27" t="n">
        <v>4.4</v>
      </c>
      <c r="F27" s="24" t="n">
        <v>350</v>
      </c>
      <c r="G27" s="25" t="s">
        <v>304</v>
      </c>
    </row>
    <row r="28" customFormat="false" ht="23.85" hidden="false" customHeight="false" outlineLevel="0" collapsed="false">
      <c r="A28" s="4" t="s">
        <v>300</v>
      </c>
      <c r="B28" s="4" t="s">
        <v>308</v>
      </c>
      <c r="C28" s="21" t="n">
        <v>77.16</v>
      </c>
      <c r="D28" s="22" t="s">
        <v>120</v>
      </c>
      <c r="E28" s="27" t="s">
        <v>127</v>
      </c>
      <c r="F28" s="24" t="n">
        <v>0</v>
      </c>
      <c r="G28" s="25" t="s">
        <v>304</v>
      </c>
    </row>
    <row r="30" customFormat="false" ht="23.85" hidden="false" customHeight="false" outlineLevel="0" collapsed="false">
      <c r="A30" s="29" t="s">
        <v>309</v>
      </c>
    </row>
    <row r="31" customFormat="false" ht="15" hidden="false" customHeight="false" outlineLevel="0" collapsed="false">
      <c r="A31" s="5" t="s">
        <v>281</v>
      </c>
      <c r="B31" s="5" t="s">
        <v>310</v>
      </c>
      <c r="C31" s="5" t="s">
        <v>311</v>
      </c>
      <c r="D31" s="5" t="s">
        <v>312</v>
      </c>
    </row>
    <row r="32" customFormat="false" ht="15" hidden="false" customHeight="false" outlineLevel="0" collapsed="false">
      <c r="A32" s="4" t="s">
        <v>286</v>
      </c>
      <c r="B32" s="22" t="n">
        <f aca="false">_xlfn.MINIFS($C$17:$C$28,$A$17:$A$28,A32)</f>
        <v>69</v>
      </c>
      <c r="C32" s="22" t="n">
        <f aca="false">_xlfn.MAXIFS($C$17:$C$28,$A$17:$A$28,A32)</f>
        <v>84.95</v>
      </c>
      <c r="D32" s="22" t="n">
        <f aca="false">MEDIAN(C17:C18)</f>
        <v>76.975</v>
      </c>
    </row>
    <row r="33" customFormat="false" ht="15" hidden="false" customHeight="false" outlineLevel="0" collapsed="false">
      <c r="A33" s="4" t="s">
        <v>291</v>
      </c>
      <c r="B33" s="22" t="n">
        <f aca="false">_xlfn.MINIFS($C$17:$C$28,$A$17:$A$28,A33)</f>
        <v>42.85</v>
      </c>
      <c r="C33" s="22" t="n">
        <f aca="false">_xlfn.MAXIFS($C$17:$C$28,$A$17:$A$28,A33)</f>
        <v>150.99</v>
      </c>
      <c r="D33" s="22" t="n">
        <f aca="false">MEDIAN(C19:C22)</f>
        <v>63.665</v>
      </c>
    </row>
    <row r="34" customFormat="false" ht="15" hidden="false" customHeight="false" outlineLevel="0" collapsed="false">
      <c r="A34" s="4" t="s">
        <v>300</v>
      </c>
      <c r="B34" s="22" t="n">
        <f aca="false">_xlfn.MINIFS($C$17:$C$28,$A$17:$A$28,A34)</f>
        <v>59</v>
      </c>
      <c r="C34" s="22" t="n">
        <f aca="false">_xlfn.MAXIFS($C$17:$C$28,$A$17:$A$28,A34)</f>
        <v>339</v>
      </c>
      <c r="D34" s="22" t="n">
        <f aca="false">MEDIAN(C23:C28)</f>
        <v>130.475</v>
      </c>
    </row>
    <row r="37" customFormat="false" ht="13.5" hidden="false" customHeight="true" outlineLevel="0" collapsed="false">
      <c r="A37" s="35" t="s">
        <v>313</v>
      </c>
      <c r="B37" s="35"/>
      <c r="C37" s="35"/>
      <c r="D37" s="35"/>
      <c r="E37" s="35"/>
      <c r="F37" s="35"/>
      <c r="G37" s="35"/>
    </row>
    <row r="38" customFormat="false" ht="15" hidden="false" customHeight="false" outlineLevel="0" collapsed="false">
      <c r="A38" s="5" t="s">
        <v>314</v>
      </c>
      <c r="B38" s="5" t="s">
        <v>234</v>
      </c>
      <c r="C38" s="5" t="s">
        <v>315</v>
      </c>
    </row>
    <row r="39" customFormat="false" ht="15" hidden="false" customHeight="false" outlineLevel="0" collapsed="false">
      <c r="A39" s="4" t="s">
        <v>316</v>
      </c>
      <c r="B39" s="36" t="n">
        <v>0.03</v>
      </c>
      <c r="C39" s="4" t="s">
        <v>317</v>
      </c>
    </row>
    <row r="40" customFormat="false" ht="15" hidden="false" customHeight="false" outlineLevel="0" collapsed="false">
      <c r="A40" s="4" t="s">
        <v>318</v>
      </c>
      <c r="B40" s="21" t="n">
        <v>10</v>
      </c>
      <c r="C40" s="4" t="s">
        <v>319</v>
      </c>
    </row>
    <row r="41" customFormat="false" ht="23.85" hidden="false" customHeight="false" outlineLevel="0" collapsed="false">
      <c r="A41" s="4" t="s">
        <v>320</v>
      </c>
      <c r="B41" s="21" t="n">
        <v>15</v>
      </c>
      <c r="C41" s="4" t="s">
        <v>321</v>
      </c>
    </row>
    <row r="42" customFormat="false" ht="15" hidden="false" customHeight="false" outlineLevel="0" collapsed="false">
      <c r="A42" s="4" t="s">
        <v>322</v>
      </c>
      <c r="B42" s="36" t="n">
        <v>0.15</v>
      </c>
      <c r="C42" s="4" t="s">
        <v>323</v>
      </c>
    </row>
    <row r="44" customFormat="false" ht="15" hidden="false" customHeight="false" outlineLevel="0" collapsed="false">
      <c r="A44" s="5" t="s">
        <v>32</v>
      </c>
      <c r="B44" s="5" t="s">
        <v>324</v>
      </c>
      <c r="C44" s="5" t="s">
        <v>325</v>
      </c>
      <c r="D44" s="5" t="s">
        <v>326</v>
      </c>
    </row>
    <row r="45" customFormat="false" ht="15" hidden="false" customHeight="false" outlineLevel="0" collapsed="false">
      <c r="A45" s="4" t="s">
        <v>327</v>
      </c>
      <c r="B45" s="21" t="n">
        <v>99</v>
      </c>
      <c r="C45" s="17" t="n">
        <f aca="false">B45*(1-$B$39-$B$42)-$B$41-$B$40</f>
        <v>56.18</v>
      </c>
      <c r="D45" s="22" t="n">
        <f aca="false">B45*(1-$B$39)-C45-$B$41-$B$40</f>
        <v>14.85</v>
      </c>
    </row>
    <row r="46" customFormat="false" ht="15" hidden="false" customHeight="false" outlineLevel="0" collapsed="false">
      <c r="A46" s="4" t="s">
        <v>291</v>
      </c>
      <c r="B46" s="21" t="n">
        <v>89</v>
      </c>
      <c r="C46" s="17" t="n">
        <f aca="false">B46*(1-$B$39-$B$42)-$B$41-$B$40</f>
        <v>47.98</v>
      </c>
      <c r="D46" s="22" t="n">
        <f aca="false">B46*(1-$B$39)-C46-$B$41-$B$40</f>
        <v>13.35</v>
      </c>
    </row>
    <row r="47" customFormat="false" ht="15" hidden="false" customHeight="false" outlineLevel="0" collapsed="false">
      <c r="A47" s="4" t="s">
        <v>328</v>
      </c>
      <c r="B47" s="21" t="n">
        <v>129</v>
      </c>
      <c r="C47" s="17" t="n">
        <f aca="false">B47*(1-$B$39-$B$42)-$B$41-$B$40</f>
        <v>80.78</v>
      </c>
      <c r="D47" s="22" t="n">
        <f aca="false">B47*(1-$B$39)-C47-$B$41-$B$40</f>
        <v>19.35</v>
      </c>
    </row>
    <row r="49" customFormat="false" ht="13.5" hidden="false" customHeight="true" outlineLevel="0" collapsed="false">
      <c r="A49" s="13" t="s">
        <v>329</v>
      </c>
      <c r="B49" s="13"/>
      <c r="C49" s="13"/>
      <c r="D49" s="13"/>
      <c r="E49" s="13"/>
      <c r="F49" s="13"/>
      <c r="G49" s="13"/>
    </row>
  </sheetData>
  <mergeCells count="2">
    <mergeCell ref="A37:G37"/>
    <mergeCell ref="A49:G49"/>
  </mergeCells>
  <hyperlinks>
    <hyperlink ref="G17" r:id="rId1" display="https://www.bunnings.com.au/jack-1600-x-800mm-rectangular-raised-garden-bed_p0807491"/>
    <hyperlink ref="G18" r:id="rId2" display="https://www.templeandwebster.com.au/Gordo-Galvanised-Steel-Raised-Garden-Bed-OIKT1274.html"/>
    <hyperlink ref="G19" r:id="rId3" display="https://www.kogan.com/au/buy/sel-pawz-cat-tree-scratching-post-scratcher-cats-tower-wood-condo-toys-house-138cm-pt1155/"/>
    <hyperlink ref="G20" r:id="rId4" display="https://www.kogan.com/au/buy/aussie-union-group-beastie-cat-tree-tower-scratching-post-black-104cm-kgv_a-cat-e-4st-104-bk/"/>
    <hyperlink ref="G21" r:id="rId5" display="https://www.bunnings.com.au/alopet-142cm-cat-tree-tower-scratching-post-scratcher_p0520575"/>
    <hyperlink ref="G22" r:id="rId6" display="https://www.kmart.com.au/product/advwin-cat-scratching-post-cat-tree-110009500/"/>
    <hyperlink ref="G23" r:id="rId7" display="https://www.kogan.com/au/buy/290l-plastic-outdoor-storage-box-container-weatherproof-black-home-furniture/"/>
    <hyperlink ref="G24" r:id="rId8" display="https://www.bunnings.com.au/products/outdoor-living/outdoor-furniture/outdoor-storage/outdoor-storage-boxes"/>
    <hyperlink ref="G25" r:id="rId9" display="https://www.bunnings.com.au/products/outdoor-living/outdoor-furniture/outdoor-storage/outdoor-storage-boxes"/>
    <hyperlink ref="G26" r:id="rId10" display="https://www.bunnings.com.au/products/outdoor-living/outdoor-furniture/outdoor-storage/outdoor-storage-boxes"/>
    <hyperlink ref="G27" r:id="rId11" display="https://www.bunnings.com.au/products/outdoor-living/outdoor-furniture/outdoor-storage/outdoor-storage-boxes"/>
    <hyperlink ref="G28" r:id="rId12" display="https://www.bunnings.com.au/products/outdoor-living/outdoor-furniture/outdoor-storage/outdoor-storage-boxes"/>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6"/>
    <col collapsed="false" customWidth="true" hidden="false" outlineLevel="0" max="3" min="3" style="0" width="70"/>
  </cols>
  <sheetData>
    <row r="1" customFormat="false" ht="17.35" hidden="false" customHeight="false" outlineLevel="0" collapsed="false">
      <c r="A1" s="1" t="s">
        <v>330</v>
      </c>
    </row>
    <row r="2" customFormat="false" ht="15" hidden="false" customHeight="false" outlineLevel="0" collapsed="false">
      <c r="A2" s="2" t="s">
        <v>331</v>
      </c>
    </row>
    <row r="4" customFormat="false" ht="15" hidden="false" customHeight="false" outlineLevel="0" collapsed="false">
      <c r="A4" s="5" t="s">
        <v>332</v>
      </c>
      <c r="B4" s="5" t="s">
        <v>234</v>
      </c>
    </row>
    <row r="5" customFormat="false" ht="15" hidden="false" customHeight="false" outlineLevel="0" collapsed="false">
      <c r="A5" s="4" t="s">
        <v>101</v>
      </c>
      <c r="B5" s="21" t="n">
        <v>149.95</v>
      </c>
    </row>
    <row r="6" customFormat="false" ht="15" hidden="false" customHeight="false" outlineLevel="0" collapsed="false">
      <c r="A6" s="4" t="s">
        <v>333</v>
      </c>
      <c r="B6" s="21" t="n">
        <v>110</v>
      </c>
    </row>
    <row r="7" customFormat="false" ht="15" hidden="false" customHeight="false" outlineLevel="0" collapsed="false">
      <c r="A7" s="4" t="s">
        <v>334</v>
      </c>
      <c r="B7" s="36" t="n">
        <v>0.03</v>
      </c>
    </row>
    <row r="8" customFormat="false" ht="15" hidden="false" customHeight="false" outlineLevel="0" collapsed="false">
      <c r="A8" s="4" t="s">
        <v>335</v>
      </c>
      <c r="B8" s="21" t="n">
        <v>8</v>
      </c>
    </row>
    <row r="9" customFormat="false" ht="15" hidden="false" customHeight="false" outlineLevel="0" collapsed="false">
      <c r="A9" s="4" t="s">
        <v>318</v>
      </c>
      <c r="B9" s="21" t="n">
        <v>10</v>
      </c>
    </row>
    <row r="11" customFormat="false" ht="15" hidden="false" customHeight="false" outlineLevel="0" collapsed="false">
      <c r="A11" s="5" t="s">
        <v>336</v>
      </c>
      <c r="B11" s="5" t="s">
        <v>234</v>
      </c>
      <c r="C11" s="5" t="s">
        <v>337</v>
      </c>
    </row>
    <row r="12" customFormat="false" ht="15" hidden="false" customHeight="false" outlineLevel="0" collapsed="false">
      <c r="A12" s="3" t="s">
        <v>338</v>
      </c>
      <c r="B12" s="37" t="n">
        <f aca="false">B5-B6</f>
        <v>39.95</v>
      </c>
      <c r="C12" s="4" t="s">
        <v>339</v>
      </c>
    </row>
    <row r="13" customFormat="false" ht="15" hidden="false" customHeight="false" outlineLevel="0" collapsed="false">
      <c r="A13" s="3" t="s">
        <v>340</v>
      </c>
      <c r="B13" s="38" t="n">
        <f aca="false">B12/B5</f>
        <v>0.266422140713571</v>
      </c>
      <c r="C13" s="4" t="s">
        <v>341</v>
      </c>
    </row>
    <row r="14" customFormat="false" ht="15" hidden="false" customHeight="false" outlineLevel="0" collapsed="false">
      <c r="A14" s="4" t="s">
        <v>342</v>
      </c>
      <c r="B14" s="22" t="n">
        <f aca="false">B5*B7</f>
        <v>4.4985</v>
      </c>
      <c r="C14" s="4" t="s">
        <v>343</v>
      </c>
    </row>
    <row r="15" customFormat="false" ht="15" hidden="false" customHeight="false" outlineLevel="0" collapsed="false">
      <c r="A15" s="4" t="s">
        <v>344</v>
      </c>
      <c r="B15" s="22" t="n">
        <f aca="false">B8</f>
        <v>8</v>
      </c>
      <c r="C15" s="4" t="s">
        <v>345</v>
      </c>
    </row>
    <row r="16" customFormat="false" ht="15" hidden="false" customHeight="false" outlineLevel="0" collapsed="false">
      <c r="A16" s="4" t="s">
        <v>346</v>
      </c>
      <c r="B16" s="22" t="n">
        <f aca="false">B9</f>
        <v>10</v>
      </c>
      <c r="C16" s="4" t="s">
        <v>345</v>
      </c>
    </row>
    <row r="17" customFormat="false" ht="15" hidden="false" customHeight="false" outlineLevel="0" collapsed="false">
      <c r="A17" s="4" t="s">
        <v>347</v>
      </c>
      <c r="B17" s="22" t="n">
        <f aca="false">SUM(B14:B16)</f>
        <v>22.4985</v>
      </c>
      <c r="C17" s="4" t="s">
        <v>348</v>
      </c>
    </row>
    <row r="18" customFormat="false" ht="15" hidden="false" customHeight="false" outlineLevel="0" collapsed="false">
      <c r="A18" s="3" t="s">
        <v>349</v>
      </c>
      <c r="B18" s="37" t="n">
        <f aca="false">B12-B17</f>
        <v>17.4515</v>
      </c>
      <c r="C18" s="4" t="s">
        <v>350</v>
      </c>
    </row>
    <row r="19" customFormat="false" ht="15" hidden="false" customHeight="false" outlineLevel="0" collapsed="false">
      <c r="A19" s="3" t="s">
        <v>351</v>
      </c>
      <c r="B19" s="38" t="n">
        <f aca="false">B18/B5</f>
        <v>0.116382127375792</v>
      </c>
      <c r="C19" s="4" t="s">
        <v>352</v>
      </c>
    </row>
    <row r="21" customFormat="false" ht="15" hidden="false" customHeight="false" outlineLevel="0" collapsed="false">
      <c r="A21" s="29" t="s">
        <v>353</v>
      </c>
    </row>
    <row r="22" customFormat="false" ht="15" hidden="false" customHeight="false" outlineLevel="0" collapsed="false">
      <c r="A22" s="4" t="s">
        <v>354</v>
      </c>
      <c r="B22" s="22" t="n">
        <f aca="false">B5*(1-B7)-B6-B8-B9</f>
        <v>17.4515</v>
      </c>
      <c r="C22" s="4" t="str">
        <f aca="false">IF(ABS(B22-B18)&lt;0.005,"MATCHES row 18","MISMATCH")</f>
        <v>MATCHES row 18</v>
      </c>
    </row>
    <row r="24" customFormat="false" ht="15" hidden="false" customHeight="false" outlineLevel="0" collapsed="false">
      <c r="A24" s="29" t="s">
        <v>355</v>
      </c>
    </row>
    <row r="25" customFormat="false" ht="15" hidden="false" customHeight="false" outlineLevel="0" collapsed="false">
      <c r="A25" s="5" t="s">
        <v>356</v>
      </c>
      <c r="B25" s="5" t="s">
        <v>234</v>
      </c>
      <c r="C25" s="5" t="s">
        <v>337</v>
      </c>
    </row>
    <row r="26" customFormat="false" ht="15" hidden="false" customHeight="false" outlineLevel="0" collapsed="false">
      <c r="A26" s="4" t="s">
        <v>357</v>
      </c>
      <c r="B26" s="22" t="n">
        <f aca="false">(B6+B8+B9)/(1-B7)</f>
        <v>131.958762886598</v>
      </c>
      <c r="C26" s="4" t="s">
        <v>358</v>
      </c>
    </row>
    <row r="27" customFormat="false" ht="15" hidden="false" customHeight="false" outlineLevel="0" collapsed="false">
      <c r="A27" s="4" t="s">
        <v>359</v>
      </c>
      <c r="B27" s="36" t="n">
        <v>0.15</v>
      </c>
      <c r="C27" s="4" t="s">
        <v>360</v>
      </c>
    </row>
    <row r="28" customFormat="false" ht="15" hidden="false" customHeight="false" outlineLevel="0" collapsed="false">
      <c r="A28" s="4" t="s">
        <v>361</v>
      </c>
      <c r="B28" s="17" t="n">
        <f aca="false">(B6+B8+B9)/(1-B7-B27)</f>
        <v>156.09756097561</v>
      </c>
      <c r="C28" s="4" t="s">
        <v>362</v>
      </c>
    </row>
    <row r="29" customFormat="false" ht="15" hidden="false" customHeight="false" outlineLevel="0" collapsed="false">
      <c r="A29" s="4" t="s">
        <v>363</v>
      </c>
      <c r="B29" s="17" t="n">
        <f aca="false">B5*(1-B7-B27)-B8-B9</f>
        <v>104.959</v>
      </c>
      <c r="C29" s="4" t="s">
        <v>364</v>
      </c>
    </row>
    <row r="31" customFormat="false" ht="15" hidden="false" customHeight="false" outlineLevel="0" collapsed="false">
      <c r="A31" s="29" t="s">
        <v>365</v>
      </c>
    </row>
    <row r="32" customFormat="false" ht="23.85" hidden="false" customHeight="false" outlineLevel="0" collapsed="false">
      <c r="A32" s="5" t="s">
        <v>101</v>
      </c>
      <c r="B32" s="5" t="s">
        <v>366</v>
      </c>
      <c r="C32" s="5" t="s">
        <v>367</v>
      </c>
    </row>
    <row r="33" customFormat="false" ht="15" hidden="false" customHeight="false" outlineLevel="0" collapsed="false">
      <c r="A33" s="21" t="n">
        <v>139.95</v>
      </c>
      <c r="B33" s="22" t="n">
        <f aca="false">A33*(1-$B$7)-$B$6-$B$8-$B$9</f>
        <v>7.75149999999999</v>
      </c>
      <c r="C33" s="8" t="n">
        <f aca="false">B33/A33</f>
        <v>0.0553876384423008</v>
      </c>
    </row>
    <row r="34" customFormat="false" ht="15" hidden="false" customHeight="false" outlineLevel="0" collapsed="false">
      <c r="A34" s="21" t="n">
        <v>149.95</v>
      </c>
      <c r="B34" s="22" t="n">
        <f aca="false">A34*(1-$B$7)-$B$6-$B$8-$B$9</f>
        <v>17.4515</v>
      </c>
      <c r="C34" s="8" t="n">
        <f aca="false">B34/A34</f>
        <v>0.116382127375792</v>
      </c>
    </row>
    <row r="35" customFormat="false" ht="15" hidden="false" customHeight="false" outlineLevel="0" collapsed="false">
      <c r="A35" s="21" t="n">
        <v>154.95</v>
      </c>
      <c r="B35" s="22" t="n">
        <f aca="false">A35*(1-$B$7)-$B$6-$B$8-$B$9</f>
        <v>22.3015</v>
      </c>
      <c r="C35" s="8" t="n">
        <f aca="false">B35/A35</f>
        <v>0.143927073249435</v>
      </c>
    </row>
    <row r="36" customFormat="false" ht="15" hidden="false" customHeight="false" outlineLevel="0" collapsed="false">
      <c r="A36" s="21" t="n">
        <v>159.95</v>
      </c>
      <c r="B36" s="22" t="n">
        <f aca="false">A36*(1-$B$7)-$B$6-$B$8-$B$9</f>
        <v>27.1515</v>
      </c>
      <c r="C36" s="8" t="n">
        <f aca="false">B36/A36</f>
        <v>0.169749921850578</v>
      </c>
    </row>
    <row r="37" customFormat="false" ht="15" hidden="false" customHeight="false" outlineLevel="0" collapsed="false">
      <c r="A37" s="21" t="n">
        <v>164.95</v>
      </c>
      <c r="B37" s="22" t="n">
        <f aca="false">A37*(1-$B$7)-$B$6-$B$8-$B$9</f>
        <v>32.0015</v>
      </c>
      <c r="C37" s="8" t="n">
        <f aca="false">B37/A37</f>
        <v>0.194007274931797</v>
      </c>
    </row>
    <row r="38" customFormat="false" ht="15" hidden="false" customHeight="false" outlineLevel="0" collapsed="false">
      <c r="A38" s="21" t="n">
        <v>169.95</v>
      </c>
      <c r="B38" s="22" t="n">
        <f aca="false">A38*(1-$B$7)-$B$6-$B$8-$B$9</f>
        <v>36.8515</v>
      </c>
      <c r="C38" s="8" t="n">
        <f aca="false">B38/A38</f>
        <v>0.216837305089732</v>
      </c>
    </row>
    <row r="40" customFormat="false" ht="15" hidden="false" customHeight="false" outlineLevel="0" collapsed="false">
      <c r="A40" s="29" t="s">
        <v>368</v>
      </c>
    </row>
    <row r="41" customFormat="false" ht="23.85" hidden="false" customHeight="false" outlineLevel="0" collapsed="false">
      <c r="A41" s="4" t="s">
        <v>369</v>
      </c>
      <c r="B41" s="36" t="n">
        <v>0.1</v>
      </c>
      <c r="C41" s="4" t="s">
        <v>370</v>
      </c>
    </row>
    <row r="42" customFormat="false" ht="23.85" hidden="false" customHeight="false" outlineLevel="0" collapsed="false">
      <c r="A42" s="4" t="s">
        <v>371</v>
      </c>
      <c r="B42" s="22" t="n">
        <f aca="false">B5/(1+B41)-B6-B5*B7-B8-B9</f>
        <v>3.81968181818178</v>
      </c>
      <c r="C42" s="4" t="s">
        <v>372</v>
      </c>
    </row>
    <row r="43" customFormat="false" ht="15" hidden="false" customHeight="false" outlineLevel="0" collapsed="false">
      <c r="A43" s="4" t="s">
        <v>373</v>
      </c>
      <c r="B43" s="8" t="n">
        <f aca="false">B42/(B5/(1+B41))</f>
        <v>0.0280203401133709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2"/>
    <col collapsed="false" customWidth="true" hidden="false" outlineLevel="0" max="5" min="5" style="0" width="16"/>
    <col collapsed="false" customWidth="true" hidden="false" outlineLevel="0" max="6" min="6" style="0" width="22"/>
    <col collapsed="false" customWidth="true" hidden="false" outlineLevel="0" max="7" min="7" style="0" width="20"/>
    <col collapsed="false" customWidth="true" hidden="false" outlineLevel="0" max="8" min="8" style="0" width="15"/>
    <col collapsed="false" customWidth="true" hidden="false" outlineLevel="0" max="10" min="9" style="0" width="14"/>
    <col collapsed="false" customWidth="true" hidden="false" outlineLevel="0" max="11" min="11" style="0" width="20"/>
  </cols>
  <sheetData>
    <row r="1" customFormat="false" ht="17.35" hidden="false" customHeight="false" outlineLevel="0" collapsed="false">
      <c r="A1" s="1" t="s">
        <v>374</v>
      </c>
    </row>
    <row r="2" customFormat="false" ht="15" hidden="false" customHeight="false" outlineLevel="0" collapsed="false">
      <c r="A2" s="2" t="s">
        <v>375</v>
      </c>
    </row>
    <row r="4" customFormat="false" ht="23.85" hidden="false" customHeight="false" outlineLevel="0" collapsed="false">
      <c r="A4" s="5" t="s">
        <v>376</v>
      </c>
      <c r="B4" s="5" t="s">
        <v>377</v>
      </c>
      <c r="C4" s="5" t="s">
        <v>378</v>
      </c>
      <c r="D4" s="5" t="s">
        <v>379</v>
      </c>
      <c r="E4" s="5" t="s">
        <v>380</v>
      </c>
      <c r="F4" s="5" t="s">
        <v>381</v>
      </c>
      <c r="G4" s="5" t="s">
        <v>382</v>
      </c>
      <c r="H4" s="5" t="s">
        <v>383</v>
      </c>
      <c r="I4" s="5" t="s">
        <v>384</v>
      </c>
      <c r="J4" s="5" t="s">
        <v>385</v>
      </c>
      <c r="K4" s="5" t="s">
        <v>386</v>
      </c>
    </row>
    <row r="5" customFormat="false" ht="15" hidden="false" customHeight="false" outlineLevel="0" collapsed="false">
      <c r="A5" s="4" t="s">
        <v>387</v>
      </c>
      <c r="B5" s="39" t="n">
        <v>10000</v>
      </c>
      <c r="C5" s="39" t="n">
        <v>200</v>
      </c>
      <c r="D5" s="6" t="n">
        <v>30000</v>
      </c>
      <c r="E5" s="40" t="n">
        <f aca="false">C5/B5</f>
        <v>0.02</v>
      </c>
      <c r="F5" s="22" t="n">
        <f aca="false">D5/C5</f>
        <v>150</v>
      </c>
      <c r="G5" s="22" t="n">
        <f aca="false">D5/B5</f>
        <v>3</v>
      </c>
      <c r="H5" s="4" t="s">
        <v>388</v>
      </c>
      <c r="I5" s="4" t="s">
        <v>388</v>
      </c>
      <c r="J5" s="4" t="s">
        <v>388</v>
      </c>
      <c r="K5" s="4" t="s">
        <v>388</v>
      </c>
    </row>
    <row r="6" customFormat="false" ht="15" hidden="false" customHeight="false" outlineLevel="0" collapsed="false">
      <c r="A6" s="4" t="s">
        <v>389</v>
      </c>
      <c r="B6" s="39" t="n">
        <v>12000</v>
      </c>
      <c r="C6" s="39" t="n">
        <v>210</v>
      </c>
      <c r="D6" s="6" t="n">
        <v>31500</v>
      </c>
      <c r="E6" s="40" t="n">
        <f aca="false">C6/B6</f>
        <v>0.0175</v>
      </c>
      <c r="F6" s="22" t="n">
        <f aca="false">D6/C6</f>
        <v>150</v>
      </c>
      <c r="G6" s="22" t="n">
        <f aca="false">D6/B6</f>
        <v>2.625</v>
      </c>
      <c r="H6" s="8" t="n">
        <f aca="false">B6/B5-1</f>
        <v>0.2</v>
      </c>
      <c r="I6" s="8" t="n">
        <f aca="false">C6/C5-1</f>
        <v>0.05</v>
      </c>
      <c r="J6" s="8" t="n">
        <f aca="false">D6/D5-1</f>
        <v>0.05</v>
      </c>
      <c r="K6" s="41" t="n">
        <f aca="false">(E6-E5)*100</f>
        <v>-0.25</v>
      </c>
    </row>
    <row r="7" customFormat="false" ht="15" hidden="false" customHeight="false" outlineLevel="0" collapsed="false">
      <c r="A7" s="4" t="s">
        <v>390</v>
      </c>
      <c r="B7" s="39" t="n">
        <v>15000</v>
      </c>
      <c r="C7" s="39" t="n">
        <v>205</v>
      </c>
      <c r="D7" s="6" t="n">
        <v>30750</v>
      </c>
      <c r="E7" s="40" t="n">
        <f aca="false">C7/B7</f>
        <v>0.0136666666666667</v>
      </c>
      <c r="F7" s="22" t="n">
        <f aca="false">D7/C7</f>
        <v>150</v>
      </c>
      <c r="G7" s="22" t="n">
        <f aca="false">D7/B7</f>
        <v>2.05</v>
      </c>
      <c r="H7" s="8" t="n">
        <f aca="false">B7/B6-1</f>
        <v>0.25</v>
      </c>
      <c r="I7" s="8" t="n">
        <f aca="false">C7/C6-1</f>
        <v>-0.0238095238095238</v>
      </c>
      <c r="J7" s="8" t="n">
        <f aca="false">D7/D6-1</f>
        <v>-0.0238095238095238</v>
      </c>
      <c r="K7" s="41" t="n">
        <f aca="false">(E7-E6)*100</f>
        <v>-0.383333333333333</v>
      </c>
    </row>
    <row r="8" customFormat="false" ht="15" hidden="false" customHeight="false" outlineLevel="0" collapsed="false">
      <c r="A8" s="4" t="s">
        <v>391</v>
      </c>
      <c r="B8" s="39" t="n">
        <v>20000</v>
      </c>
      <c r="C8" s="39" t="n">
        <v>210</v>
      </c>
      <c r="D8" s="6" t="n">
        <v>31500</v>
      </c>
      <c r="E8" s="40" t="n">
        <f aca="false">C8/B8</f>
        <v>0.0105</v>
      </c>
      <c r="F8" s="22" t="n">
        <f aca="false">D8/C8</f>
        <v>150</v>
      </c>
      <c r="G8" s="22" t="n">
        <f aca="false">D8/B8</f>
        <v>1.575</v>
      </c>
      <c r="H8" s="8" t="n">
        <f aca="false">B8/B7-1</f>
        <v>0.333333333333333</v>
      </c>
      <c r="I8" s="8" t="n">
        <f aca="false">C8/C7-1</f>
        <v>0.024390243902439</v>
      </c>
      <c r="J8" s="8" t="n">
        <f aca="false">D8/D7-1</f>
        <v>0.024390243902439</v>
      </c>
      <c r="K8" s="41" t="n">
        <f aca="false">(E8-E7)*100</f>
        <v>-0.316666666666667</v>
      </c>
    </row>
    <row r="10" customFormat="false" ht="15" hidden="false" customHeight="false" outlineLevel="0" collapsed="false">
      <c r="A10" s="10" t="s">
        <v>392</v>
      </c>
      <c r="B10" s="42" t="n">
        <f aca="false">B8/B5-1</f>
        <v>1</v>
      </c>
      <c r="C10" s="42" t="n">
        <f aca="false">C8/C5-1</f>
        <v>0.05</v>
      </c>
      <c r="D10" s="42" t="n">
        <f aca="false">D8/D5-1</f>
        <v>0.05</v>
      </c>
      <c r="E10" s="42" t="n">
        <f aca="false">E8/E5-1</f>
        <v>-0.475</v>
      </c>
      <c r="F10" s="42" t="n">
        <f aca="false">F8/F5-1</f>
        <v>0</v>
      </c>
      <c r="G10" s="42" t="n">
        <f aca="false">G8/G5-1</f>
        <v>-0.475</v>
      </c>
    </row>
    <row r="11" customFormat="false" ht="15" hidden="false" customHeight="false" outlineLevel="0" collapsed="false">
      <c r="A11" s="3" t="s">
        <v>393</v>
      </c>
      <c r="B11" s="31" t="n">
        <f aca="false">B8-B5</f>
        <v>10000</v>
      </c>
      <c r="C11" s="31" t="n">
        <f aca="false">C8-C5</f>
        <v>10</v>
      </c>
      <c r="D11" s="7" t="n">
        <f aca="false">D8-D5</f>
        <v>1500</v>
      </c>
      <c r="E11" s="41" t="n">
        <f aca="false">(E8-E5)*100</f>
        <v>-0.95</v>
      </c>
    </row>
    <row r="13" customFormat="false" ht="15" hidden="false" customHeight="false" outlineLevel="0" collapsed="false">
      <c r="A13" s="29" t="s">
        <v>394</v>
      </c>
    </row>
    <row r="14" customFormat="false" ht="15" hidden="false" customHeight="false" outlineLevel="0" collapsed="false">
      <c r="A14" s="4" t="s">
        <v>395</v>
      </c>
      <c r="B14" s="31" t="n">
        <f aca="false">B8-B5</f>
        <v>10000</v>
      </c>
    </row>
    <row r="15" customFormat="false" ht="15" hidden="false" customHeight="false" outlineLevel="0" collapsed="false">
      <c r="A15" s="4" t="s">
        <v>396</v>
      </c>
      <c r="B15" s="31" t="n">
        <f aca="false">C8-C5</f>
        <v>10</v>
      </c>
    </row>
    <row r="16" customFormat="false" ht="15" hidden="false" customHeight="false" outlineLevel="0" collapsed="false">
      <c r="A16" s="4" t="s">
        <v>397</v>
      </c>
      <c r="B16" s="31" t="n">
        <f aca="false">B14/B15</f>
        <v>1000</v>
      </c>
    </row>
    <row r="17" customFormat="false" ht="15" hidden="false" customHeight="false" outlineLevel="0" collapsed="false">
      <c r="A17" s="4" t="s">
        <v>398</v>
      </c>
      <c r="B17" s="40" t="n">
        <f aca="false">B15/B14</f>
        <v>0.001</v>
      </c>
    </row>
    <row r="18" customFormat="false" ht="15" hidden="false" customHeight="false" outlineLevel="0" collapsed="false">
      <c r="A18" s="4" t="s">
        <v>399</v>
      </c>
      <c r="B18" s="31" t="n">
        <f aca="false">B8*E5</f>
        <v>400</v>
      </c>
    </row>
    <row r="19" customFormat="false" ht="15" hidden="false" customHeight="false" outlineLevel="0" collapsed="false">
      <c r="A19" s="4" t="s">
        <v>400</v>
      </c>
      <c r="B19" s="31" t="n">
        <f aca="false">B18-C8</f>
        <v>190</v>
      </c>
    </row>
    <row r="20" customFormat="false" ht="15" hidden="false" customHeight="false" outlineLevel="0" collapsed="false">
      <c r="A20" s="4" t="s">
        <v>401</v>
      </c>
      <c r="B20" s="7" t="n">
        <f aca="false">B19*F8</f>
        <v>28500</v>
      </c>
    </row>
    <row r="22" customFormat="false" ht="27.75" hidden="false" customHeight="true" outlineLevel="0" collapsed="false">
      <c r="A22" s="13" t="s">
        <v>402</v>
      </c>
      <c r="B22" s="13"/>
      <c r="C22" s="13"/>
      <c r="D22" s="13"/>
      <c r="E22" s="13"/>
      <c r="F22" s="13"/>
      <c r="G22" s="13"/>
      <c r="H22" s="13"/>
    </row>
    <row r="23" customFormat="false" ht="13.5" hidden="false" customHeight="true" outlineLevel="0" collapsed="false">
      <c r="A23" s="13" t="s">
        <v>403</v>
      </c>
      <c r="B23" s="13"/>
      <c r="C23" s="13"/>
      <c r="D23" s="13"/>
      <c r="E23" s="13"/>
      <c r="F23" s="13"/>
      <c r="G23" s="13"/>
      <c r="H23" s="13"/>
    </row>
  </sheetData>
  <mergeCells count="2">
    <mergeCell ref="A22:H22"/>
    <mergeCell ref="A23:H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8"/>
    <col collapsed="false" customWidth="true" hidden="false" outlineLevel="0" max="3" min="3" style="0" width="14"/>
    <col collapsed="false" customWidth="true" hidden="false" outlineLevel="0" max="6" min="4" style="0" width="12"/>
  </cols>
  <sheetData>
    <row r="1" customFormat="false" ht="17.35" hidden="false" customHeight="false" outlineLevel="0" collapsed="false">
      <c r="A1" s="1" t="s">
        <v>404</v>
      </c>
    </row>
    <row r="2" customFormat="false" ht="15" hidden="false" customHeight="false" outlineLevel="0" collapsed="false">
      <c r="A2" s="2" t="s">
        <v>405</v>
      </c>
    </row>
    <row r="4" customFormat="false" ht="15" hidden="false" customHeight="false" outlineLevel="0" collapsed="false">
      <c r="A4" s="5" t="s">
        <v>406</v>
      </c>
      <c r="B4" s="5" t="s">
        <v>407</v>
      </c>
    </row>
    <row r="5" customFormat="false" ht="15" hidden="false" customHeight="false" outlineLevel="0" collapsed="false">
      <c r="A5" s="4" t="s">
        <v>408</v>
      </c>
      <c r="B5" s="39" t="n">
        <v>10000</v>
      </c>
    </row>
    <row r="6" customFormat="false" ht="15" hidden="false" customHeight="false" outlineLevel="0" collapsed="false">
      <c r="A6" s="4" t="s">
        <v>409</v>
      </c>
      <c r="B6" s="39" t="n">
        <v>500</v>
      </c>
    </row>
    <row r="7" customFormat="false" ht="15" hidden="false" customHeight="false" outlineLevel="0" collapsed="false">
      <c r="A7" s="4" t="s">
        <v>410</v>
      </c>
      <c r="B7" s="39" t="n">
        <v>100</v>
      </c>
    </row>
    <row r="8" customFormat="false" ht="15" hidden="false" customHeight="false" outlineLevel="0" collapsed="false">
      <c r="A8" s="4" t="s">
        <v>411</v>
      </c>
      <c r="B8" s="39" t="n">
        <v>20</v>
      </c>
    </row>
    <row r="10" customFormat="false" ht="15" hidden="false" customHeight="false" outlineLevel="0" collapsed="false">
      <c r="A10" s="5" t="s">
        <v>412</v>
      </c>
      <c r="B10" s="5" t="s">
        <v>413</v>
      </c>
      <c r="C10" s="5" t="s">
        <v>414</v>
      </c>
      <c r="D10" s="5" t="s">
        <v>415</v>
      </c>
      <c r="E10" s="5" t="s">
        <v>416</v>
      </c>
      <c r="F10" s="5" t="s">
        <v>417</v>
      </c>
    </row>
    <row r="11" customFormat="false" ht="15" hidden="false" customHeight="false" outlineLevel="0" collapsed="false">
      <c r="A11" s="3" t="s">
        <v>418</v>
      </c>
      <c r="B11" s="31" t="n">
        <f aca="false">B6</f>
        <v>500</v>
      </c>
      <c r="C11" s="31" t="n">
        <f aca="false">B5</f>
        <v>10000</v>
      </c>
      <c r="D11" s="38" t="n">
        <f aca="false">B11/C11</f>
        <v>0.05</v>
      </c>
      <c r="E11" s="40" t="n">
        <f aca="false">1-D11</f>
        <v>0.95</v>
      </c>
      <c r="F11" s="31" t="n">
        <f aca="false">C11-B11</f>
        <v>9500</v>
      </c>
    </row>
    <row r="12" customFormat="false" ht="15" hidden="false" customHeight="false" outlineLevel="0" collapsed="false">
      <c r="A12" s="3" t="s">
        <v>419</v>
      </c>
      <c r="B12" s="31" t="n">
        <f aca="false">B7</f>
        <v>100</v>
      </c>
      <c r="C12" s="31" t="n">
        <f aca="false">B6</f>
        <v>500</v>
      </c>
      <c r="D12" s="38" t="n">
        <f aca="false">B12/C12</f>
        <v>0.2</v>
      </c>
      <c r="E12" s="40" t="n">
        <f aca="false">1-D12</f>
        <v>0.8</v>
      </c>
      <c r="F12" s="31" t="n">
        <f aca="false">C12-B12</f>
        <v>400</v>
      </c>
    </row>
    <row r="13" customFormat="false" ht="15" hidden="false" customHeight="false" outlineLevel="0" collapsed="false">
      <c r="A13" s="3" t="s">
        <v>420</v>
      </c>
      <c r="B13" s="31" t="n">
        <f aca="false">B8</f>
        <v>20</v>
      </c>
      <c r="C13" s="31" t="n">
        <f aca="false">B7</f>
        <v>100</v>
      </c>
      <c r="D13" s="38" t="n">
        <f aca="false">B13/C13</f>
        <v>0.2</v>
      </c>
      <c r="E13" s="40" t="n">
        <f aca="false">1-D13</f>
        <v>0.8</v>
      </c>
      <c r="F13" s="31" t="n">
        <f aca="false">C13-B13</f>
        <v>80</v>
      </c>
    </row>
    <row r="14" customFormat="false" ht="15" hidden="false" customHeight="false" outlineLevel="0" collapsed="false">
      <c r="A14" s="3" t="s">
        <v>421</v>
      </c>
      <c r="B14" s="31" t="n">
        <f aca="false">B8</f>
        <v>20</v>
      </c>
      <c r="C14" s="31" t="n">
        <f aca="false">B5</f>
        <v>10000</v>
      </c>
      <c r="D14" s="38" t="n">
        <f aca="false">B14/C14</f>
        <v>0.002</v>
      </c>
      <c r="E14" s="40" t="n">
        <f aca="false">1-D14</f>
        <v>0.998</v>
      </c>
      <c r="F14" s="31" t="n">
        <f aca="false">C14-B14</f>
        <v>9980</v>
      </c>
    </row>
    <row r="16" customFormat="false" ht="15" hidden="false" customHeight="false" outlineLevel="0" collapsed="false">
      <c r="A16" s="3" t="s">
        <v>422</v>
      </c>
      <c r="B16" s="10" t="str">
        <f aca="false">INDEX(A11:A13,MATCH(MIN(D11:D13),D11:D13,0))</f>
        <v>1. Visit -&gt; Product page</v>
      </c>
    </row>
    <row r="17" customFormat="false" ht="23.85" hidden="false" customHeight="false" outlineLevel="0" collapsed="false">
      <c r="A17" s="4" t="s">
        <v>423</v>
      </c>
      <c r="B17" s="4" t="str">
        <f aca="false">IF(ABS(D11*D12*D13-D14)&lt;0.0000001,"OK","MISMATCH")</f>
        <v>OK</v>
      </c>
    </row>
    <row r="19" customFormat="false" ht="13.5" hidden="false" customHeight="true" outlineLevel="0" collapsed="false">
      <c r="A19" s="13" t="s">
        <v>424</v>
      </c>
      <c r="B19" s="13"/>
      <c r="C19" s="13"/>
      <c r="D19" s="13"/>
      <c r="E19" s="13"/>
      <c r="F19" s="13"/>
    </row>
  </sheetData>
  <mergeCells count="1">
    <mergeCell ref="A19:F1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40"/>
    <col collapsed="false" customWidth="true" hidden="false" outlineLevel="0" max="4" min="4" style="0" width="56"/>
    <col collapsed="false" customWidth="true" hidden="false" outlineLevel="0" max="5" min="5" style="0" width="60"/>
    <col collapsed="false" customWidth="true" hidden="false" outlineLevel="0" max="6" min="6" style="0" width="30"/>
    <col collapsed="false" customWidth="true" hidden="false" outlineLevel="0" max="7" min="7" style="0" width="13"/>
    <col collapsed="false" customWidth="true" hidden="false" outlineLevel="0" max="8" min="8" style="0" width="50"/>
    <col collapsed="false" customWidth="true" hidden="false" outlineLevel="0" max="9" min="9" style="0" width="15"/>
  </cols>
  <sheetData>
    <row r="1" customFormat="false" ht="17.35" hidden="false" customHeight="false" outlineLevel="0" collapsed="false">
      <c r="A1" s="1" t="s">
        <v>425</v>
      </c>
    </row>
    <row r="2" customFormat="false" ht="15" hidden="false" customHeight="false" outlineLevel="0" collapsed="false">
      <c r="A2" s="2" t="s">
        <v>426</v>
      </c>
    </row>
    <row r="3" customFormat="false" ht="31.5" hidden="false" customHeight="true" outlineLevel="0" collapsed="false">
      <c r="A3" s="13" t="s">
        <v>427</v>
      </c>
      <c r="B3" s="13"/>
      <c r="C3" s="13"/>
      <c r="D3" s="13"/>
      <c r="E3" s="13"/>
      <c r="F3" s="13"/>
      <c r="G3" s="13"/>
      <c r="H3" s="13"/>
    </row>
    <row r="4" customFormat="false" ht="15" hidden="false" customHeight="false" outlineLevel="0" collapsed="false">
      <c r="A4" s="5" t="s">
        <v>428</v>
      </c>
      <c r="B4" s="5" t="s">
        <v>356</v>
      </c>
      <c r="C4" s="5" t="s">
        <v>429</v>
      </c>
      <c r="D4" s="5" t="s">
        <v>430</v>
      </c>
      <c r="E4" s="5" t="s">
        <v>285</v>
      </c>
      <c r="F4" s="5" t="s">
        <v>431</v>
      </c>
      <c r="G4" s="5" t="s">
        <v>432</v>
      </c>
      <c r="H4" s="5" t="s">
        <v>207</v>
      </c>
      <c r="I4" s="5" t="s">
        <v>433</v>
      </c>
    </row>
    <row r="5" customFormat="false" ht="23.85" hidden="false" customHeight="false" outlineLevel="0" collapsed="false">
      <c r="A5" s="4" t="s">
        <v>434</v>
      </c>
      <c r="B5" s="4" t="s">
        <v>435</v>
      </c>
      <c r="C5" s="4" t="s">
        <v>436</v>
      </c>
      <c r="D5" s="4" t="s">
        <v>437</v>
      </c>
      <c r="E5" s="25" t="s">
        <v>122</v>
      </c>
      <c r="F5" s="4" t="s">
        <v>438</v>
      </c>
      <c r="G5" s="26" t="n">
        <v>46303</v>
      </c>
      <c r="H5" s="4"/>
      <c r="I5" s="4" t="s">
        <v>439</v>
      </c>
    </row>
    <row r="6" customFormat="false" ht="23.85" hidden="false" customHeight="false" outlineLevel="0" collapsed="false">
      <c r="A6" s="4" t="s">
        <v>440</v>
      </c>
      <c r="B6" s="4" t="s">
        <v>435</v>
      </c>
      <c r="C6" s="4" t="s">
        <v>441</v>
      </c>
      <c r="D6" s="4" t="s">
        <v>442</v>
      </c>
      <c r="E6" s="25" t="s">
        <v>128</v>
      </c>
      <c r="F6" s="4" t="s">
        <v>438</v>
      </c>
      <c r="G6" s="26" t="n">
        <v>46303</v>
      </c>
      <c r="H6" s="4"/>
      <c r="I6" s="4" t="s">
        <v>439</v>
      </c>
    </row>
    <row r="7" customFormat="false" ht="23.85" hidden="false" customHeight="false" outlineLevel="0" collapsed="false">
      <c r="A7" s="4" t="s">
        <v>443</v>
      </c>
      <c r="B7" s="4" t="s">
        <v>435</v>
      </c>
      <c r="C7" s="4" t="s">
        <v>444</v>
      </c>
      <c r="D7" s="4" t="s">
        <v>445</v>
      </c>
      <c r="E7" s="25" t="s">
        <v>135</v>
      </c>
      <c r="F7" s="4" t="s">
        <v>438</v>
      </c>
      <c r="G7" s="26" t="n">
        <v>46303</v>
      </c>
      <c r="H7" s="4"/>
      <c r="I7" s="4" t="s">
        <v>439</v>
      </c>
    </row>
    <row r="8" customFormat="false" ht="23.85" hidden="false" customHeight="false" outlineLevel="0" collapsed="false">
      <c r="A8" s="4" t="s">
        <v>446</v>
      </c>
      <c r="B8" s="4" t="s">
        <v>435</v>
      </c>
      <c r="C8" s="4" t="s">
        <v>447</v>
      </c>
      <c r="D8" s="4" t="s">
        <v>448</v>
      </c>
      <c r="E8" s="25" t="s">
        <v>141</v>
      </c>
      <c r="F8" s="4" t="s">
        <v>438</v>
      </c>
      <c r="G8" s="26" t="n">
        <v>46303</v>
      </c>
      <c r="H8" s="4"/>
      <c r="I8" s="4" t="s">
        <v>439</v>
      </c>
    </row>
    <row r="9" customFormat="false" ht="23.85" hidden="false" customHeight="false" outlineLevel="0" collapsed="false">
      <c r="A9" s="4" t="s">
        <v>449</v>
      </c>
      <c r="B9" s="4" t="s">
        <v>435</v>
      </c>
      <c r="C9" s="4" t="s">
        <v>450</v>
      </c>
      <c r="D9" s="4" t="s">
        <v>451</v>
      </c>
      <c r="E9" s="25" t="s">
        <v>146</v>
      </c>
      <c r="F9" s="4" t="s">
        <v>438</v>
      </c>
      <c r="G9" s="26" t="n">
        <v>46303</v>
      </c>
      <c r="H9" s="4"/>
      <c r="I9" s="4" t="s">
        <v>439</v>
      </c>
    </row>
    <row r="10" customFormat="false" ht="23.85" hidden="false" customHeight="false" outlineLevel="0" collapsed="false">
      <c r="A10" s="4" t="s">
        <v>452</v>
      </c>
      <c r="B10" s="4" t="s">
        <v>435</v>
      </c>
      <c r="C10" s="4" t="s">
        <v>453</v>
      </c>
      <c r="D10" s="4" t="s">
        <v>454</v>
      </c>
      <c r="E10" s="25" t="s">
        <v>152</v>
      </c>
      <c r="F10" s="4" t="s">
        <v>438</v>
      </c>
      <c r="G10" s="26" t="n">
        <v>46303</v>
      </c>
      <c r="H10" s="4"/>
      <c r="I10" s="4" t="s">
        <v>439</v>
      </c>
    </row>
    <row r="11" customFormat="false" ht="23.85" hidden="false" customHeight="false" outlineLevel="0" collapsed="false">
      <c r="A11" s="4" t="s">
        <v>455</v>
      </c>
      <c r="B11" s="4" t="s">
        <v>435</v>
      </c>
      <c r="C11" s="4" t="s">
        <v>456</v>
      </c>
      <c r="D11" s="4" t="s">
        <v>457</v>
      </c>
      <c r="E11" s="25" t="s">
        <v>158</v>
      </c>
      <c r="F11" s="4" t="s">
        <v>438</v>
      </c>
      <c r="G11" s="26" t="n">
        <v>46303</v>
      </c>
      <c r="H11" s="4"/>
      <c r="I11" s="4" t="s">
        <v>439</v>
      </c>
    </row>
    <row r="12" customFormat="false" ht="23.85" hidden="false" customHeight="false" outlineLevel="0" collapsed="false">
      <c r="A12" s="4" t="s">
        <v>458</v>
      </c>
      <c r="B12" s="4" t="s">
        <v>435</v>
      </c>
      <c r="C12" s="4" t="s">
        <v>459</v>
      </c>
      <c r="D12" s="4" t="s">
        <v>460</v>
      </c>
      <c r="E12" s="25" t="s">
        <v>163</v>
      </c>
      <c r="F12" s="4" t="s">
        <v>438</v>
      </c>
      <c r="G12" s="26" t="n">
        <v>46303</v>
      </c>
      <c r="H12" s="4"/>
      <c r="I12" s="4" t="s">
        <v>439</v>
      </c>
    </row>
    <row r="13" customFormat="false" ht="23.85" hidden="false" customHeight="false" outlineLevel="0" collapsed="false">
      <c r="A13" s="4" t="s">
        <v>461</v>
      </c>
      <c r="B13" s="4" t="s">
        <v>435</v>
      </c>
      <c r="C13" s="4" t="s">
        <v>462</v>
      </c>
      <c r="D13" s="4" t="s">
        <v>463</v>
      </c>
      <c r="E13" s="25" t="s">
        <v>167</v>
      </c>
      <c r="F13" s="4" t="s">
        <v>438</v>
      </c>
      <c r="G13" s="26" t="n">
        <v>46303</v>
      </c>
      <c r="H13" s="4"/>
      <c r="I13" s="4" t="s">
        <v>439</v>
      </c>
    </row>
    <row r="14" customFormat="false" ht="23.85" hidden="false" customHeight="false" outlineLevel="0" collapsed="false">
      <c r="A14" s="4" t="s">
        <v>464</v>
      </c>
      <c r="B14" s="4" t="s">
        <v>435</v>
      </c>
      <c r="C14" s="4" t="s">
        <v>465</v>
      </c>
      <c r="D14" s="4" t="s">
        <v>466</v>
      </c>
      <c r="E14" s="25" t="s">
        <v>175</v>
      </c>
      <c r="F14" s="4" t="s">
        <v>438</v>
      </c>
      <c r="G14" s="26" t="n">
        <v>46303</v>
      </c>
      <c r="H14" s="4"/>
      <c r="I14" s="4" t="s">
        <v>439</v>
      </c>
    </row>
    <row r="15" customFormat="false" ht="23.85" hidden="false" customHeight="false" outlineLevel="0" collapsed="false">
      <c r="A15" s="4" t="s">
        <v>467</v>
      </c>
      <c r="B15" s="4" t="s">
        <v>435</v>
      </c>
      <c r="C15" s="4" t="s">
        <v>468</v>
      </c>
      <c r="D15" s="4" t="s">
        <v>469</v>
      </c>
      <c r="E15" s="25" t="s">
        <v>180</v>
      </c>
      <c r="F15" s="4" t="s">
        <v>438</v>
      </c>
      <c r="G15" s="26" t="n">
        <v>46303</v>
      </c>
      <c r="H15" s="4"/>
      <c r="I15" s="4" t="s">
        <v>439</v>
      </c>
    </row>
    <row r="16" customFormat="false" ht="23.85" hidden="false" customHeight="false" outlineLevel="0" collapsed="false">
      <c r="A16" s="4" t="s">
        <v>470</v>
      </c>
      <c r="B16" s="4" t="s">
        <v>435</v>
      </c>
      <c r="C16" s="4" t="s">
        <v>471</v>
      </c>
      <c r="D16" s="4" t="s">
        <v>472</v>
      </c>
      <c r="E16" s="25" t="s">
        <v>187</v>
      </c>
      <c r="F16" s="4" t="s">
        <v>438</v>
      </c>
      <c r="G16" s="26" t="n">
        <v>46303</v>
      </c>
      <c r="H16" s="4"/>
      <c r="I16" s="4" t="s">
        <v>439</v>
      </c>
    </row>
    <row r="17" customFormat="false" ht="23.85" hidden="false" customHeight="false" outlineLevel="0" collapsed="false">
      <c r="A17" s="4" t="s">
        <v>473</v>
      </c>
      <c r="B17" s="4" t="s">
        <v>435</v>
      </c>
      <c r="C17" s="4" t="s">
        <v>474</v>
      </c>
      <c r="D17" s="4" t="s">
        <v>475</v>
      </c>
      <c r="E17" s="25" t="s">
        <v>195</v>
      </c>
      <c r="F17" s="4" t="s">
        <v>438</v>
      </c>
      <c r="G17" s="26" t="n">
        <v>46303</v>
      </c>
      <c r="H17" s="4"/>
      <c r="I17" s="4" t="s">
        <v>439</v>
      </c>
    </row>
    <row r="18" customFormat="false" ht="23.85" hidden="false" customHeight="false" outlineLevel="0" collapsed="false">
      <c r="A18" s="4" t="s">
        <v>476</v>
      </c>
      <c r="B18" s="4" t="s">
        <v>435</v>
      </c>
      <c r="C18" s="4" t="s">
        <v>477</v>
      </c>
      <c r="D18" s="4" t="s">
        <v>478</v>
      </c>
      <c r="E18" s="25" t="s">
        <v>200</v>
      </c>
      <c r="F18" s="4" t="s">
        <v>438</v>
      </c>
      <c r="G18" s="26" t="n">
        <v>46303</v>
      </c>
      <c r="H18" s="4"/>
      <c r="I18" s="4" t="s">
        <v>439</v>
      </c>
    </row>
    <row r="19" customFormat="false" ht="23.85" hidden="false" customHeight="false" outlineLevel="0" collapsed="false">
      <c r="A19" s="4" t="s">
        <v>479</v>
      </c>
      <c r="B19" s="4" t="s">
        <v>435</v>
      </c>
      <c r="C19" s="4" t="s">
        <v>480</v>
      </c>
      <c r="D19" s="4" t="s">
        <v>481</v>
      </c>
      <c r="E19" s="25" t="s">
        <v>205</v>
      </c>
      <c r="F19" s="4" t="s">
        <v>438</v>
      </c>
      <c r="G19" s="26" t="n">
        <v>46303</v>
      </c>
      <c r="H19" s="4"/>
      <c r="I19" s="4" t="s">
        <v>439</v>
      </c>
    </row>
    <row r="20" customFormat="false" ht="15" hidden="false" customHeight="false" outlineLevel="0" collapsed="false">
      <c r="A20" s="4" t="s">
        <v>482</v>
      </c>
      <c r="B20" s="4" t="s">
        <v>435</v>
      </c>
      <c r="C20" s="4" t="s">
        <v>114</v>
      </c>
      <c r="D20" s="4" t="s">
        <v>483</v>
      </c>
      <c r="E20" s="25" t="s">
        <v>484</v>
      </c>
      <c r="F20" s="4" t="s">
        <v>485</v>
      </c>
      <c r="G20" s="26" t="n">
        <v>46303</v>
      </c>
      <c r="H20" s="4"/>
      <c r="I20" s="4" t="s">
        <v>439</v>
      </c>
    </row>
    <row r="21" customFormat="false" ht="15" hidden="false" customHeight="false" outlineLevel="0" collapsed="false">
      <c r="A21" s="4" t="s">
        <v>486</v>
      </c>
      <c r="B21" s="4" t="s">
        <v>435</v>
      </c>
      <c r="C21" s="4" t="s">
        <v>138</v>
      </c>
      <c r="D21" s="4" t="s">
        <v>487</v>
      </c>
      <c r="E21" s="25" t="s">
        <v>488</v>
      </c>
      <c r="F21" s="4" t="s">
        <v>485</v>
      </c>
      <c r="G21" s="26" t="n">
        <v>46303</v>
      </c>
      <c r="H21" s="4"/>
      <c r="I21" s="4" t="s">
        <v>439</v>
      </c>
    </row>
    <row r="22" customFormat="false" ht="15" hidden="false" customHeight="false" outlineLevel="0" collapsed="false">
      <c r="A22" s="4" t="s">
        <v>489</v>
      </c>
      <c r="B22" s="4" t="s">
        <v>435</v>
      </c>
      <c r="C22" s="4" t="s">
        <v>155</v>
      </c>
      <c r="D22" s="4" t="s">
        <v>490</v>
      </c>
      <c r="E22" s="25" t="s">
        <v>491</v>
      </c>
      <c r="F22" s="4" t="s">
        <v>485</v>
      </c>
      <c r="G22" s="26" t="n">
        <v>46303</v>
      </c>
      <c r="H22" s="4"/>
      <c r="I22" s="4" t="s">
        <v>439</v>
      </c>
    </row>
    <row r="23" customFormat="false" ht="15" hidden="false" customHeight="false" outlineLevel="0" collapsed="false">
      <c r="A23" s="4" t="s">
        <v>492</v>
      </c>
      <c r="B23" s="4" t="s">
        <v>435</v>
      </c>
      <c r="C23" s="4" t="s">
        <v>170</v>
      </c>
      <c r="D23" s="4" t="s">
        <v>493</v>
      </c>
      <c r="E23" s="25" t="s">
        <v>494</v>
      </c>
      <c r="F23" s="4" t="s">
        <v>495</v>
      </c>
      <c r="G23" s="26" t="n">
        <v>46303</v>
      </c>
      <c r="H23" s="4"/>
      <c r="I23" s="4" t="s">
        <v>439</v>
      </c>
    </row>
    <row r="24" customFormat="false" ht="15" hidden="false" customHeight="false" outlineLevel="0" collapsed="false">
      <c r="A24" s="4" t="s">
        <v>496</v>
      </c>
      <c r="B24" s="4" t="s">
        <v>435</v>
      </c>
      <c r="C24" s="4" t="s">
        <v>190</v>
      </c>
      <c r="D24" s="4" t="s">
        <v>497</v>
      </c>
      <c r="E24" s="25" t="s">
        <v>498</v>
      </c>
      <c r="F24" s="4" t="s">
        <v>495</v>
      </c>
      <c r="G24" s="26" t="n">
        <v>46303</v>
      </c>
      <c r="H24" s="4"/>
      <c r="I24" s="4" t="s">
        <v>439</v>
      </c>
    </row>
    <row r="25" customFormat="false" ht="23.85" hidden="false" customHeight="false" outlineLevel="0" collapsed="false">
      <c r="A25" s="4" t="s">
        <v>499</v>
      </c>
      <c r="B25" s="4" t="s">
        <v>500</v>
      </c>
      <c r="C25" s="4" t="s">
        <v>287</v>
      </c>
      <c r="D25" s="4" t="s">
        <v>501</v>
      </c>
      <c r="E25" s="25" t="s">
        <v>288</v>
      </c>
      <c r="F25" s="4" t="s">
        <v>502</v>
      </c>
      <c r="G25" s="26" t="n">
        <v>46303</v>
      </c>
      <c r="H25" s="4"/>
      <c r="I25" s="4" t="s">
        <v>439</v>
      </c>
    </row>
    <row r="26" customFormat="false" ht="46.25" hidden="false" customHeight="false" outlineLevel="0" collapsed="false">
      <c r="A26" s="4" t="s">
        <v>503</v>
      </c>
      <c r="B26" s="4" t="s">
        <v>500</v>
      </c>
      <c r="C26" s="4" t="s">
        <v>289</v>
      </c>
      <c r="D26" s="4" t="s">
        <v>504</v>
      </c>
      <c r="E26" s="25" t="s">
        <v>290</v>
      </c>
      <c r="F26" s="4" t="s">
        <v>502</v>
      </c>
      <c r="G26" s="26" t="n">
        <v>46303</v>
      </c>
      <c r="H26" s="4"/>
      <c r="I26" s="4" t="s">
        <v>439</v>
      </c>
    </row>
    <row r="27" customFormat="false" ht="23.85" hidden="false" customHeight="false" outlineLevel="0" collapsed="false">
      <c r="A27" s="4" t="s">
        <v>505</v>
      </c>
      <c r="B27" s="4" t="s">
        <v>500</v>
      </c>
      <c r="C27" s="4" t="s">
        <v>292</v>
      </c>
      <c r="D27" s="4" t="s">
        <v>506</v>
      </c>
      <c r="E27" s="25" t="s">
        <v>293</v>
      </c>
      <c r="F27" s="4" t="s">
        <v>502</v>
      </c>
      <c r="G27" s="26" t="n">
        <v>46303</v>
      </c>
      <c r="H27" s="4"/>
      <c r="I27" s="4" t="s">
        <v>439</v>
      </c>
    </row>
    <row r="28" customFormat="false" ht="23.85" hidden="false" customHeight="false" outlineLevel="0" collapsed="false">
      <c r="A28" s="4" t="s">
        <v>507</v>
      </c>
      <c r="B28" s="4" t="s">
        <v>500</v>
      </c>
      <c r="C28" s="4" t="s">
        <v>294</v>
      </c>
      <c r="D28" s="4" t="s">
        <v>508</v>
      </c>
      <c r="E28" s="25" t="s">
        <v>295</v>
      </c>
      <c r="F28" s="4" t="s">
        <v>502</v>
      </c>
      <c r="G28" s="26" t="n">
        <v>46303</v>
      </c>
      <c r="H28" s="4"/>
      <c r="I28" s="4" t="s">
        <v>439</v>
      </c>
    </row>
    <row r="29" customFormat="false" ht="23.85" hidden="false" customHeight="false" outlineLevel="0" collapsed="false">
      <c r="A29" s="4" t="s">
        <v>509</v>
      </c>
      <c r="B29" s="4" t="s">
        <v>500</v>
      </c>
      <c r="C29" s="4" t="s">
        <v>296</v>
      </c>
      <c r="D29" s="4" t="s">
        <v>510</v>
      </c>
      <c r="E29" s="25" t="s">
        <v>297</v>
      </c>
      <c r="F29" s="4" t="s">
        <v>502</v>
      </c>
      <c r="G29" s="26" t="n">
        <v>46303</v>
      </c>
      <c r="H29" s="4"/>
      <c r="I29" s="4" t="s">
        <v>439</v>
      </c>
    </row>
    <row r="30" customFormat="false" ht="23.85" hidden="false" customHeight="false" outlineLevel="0" collapsed="false">
      <c r="A30" s="4" t="s">
        <v>511</v>
      </c>
      <c r="B30" s="4" t="s">
        <v>500</v>
      </c>
      <c r="C30" s="4" t="s">
        <v>298</v>
      </c>
      <c r="D30" s="4" t="s">
        <v>512</v>
      </c>
      <c r="E30" s="25" t="s">
        <v>299</v>
      </c>
      <c r="F30" s="4" t="s">
        <v>502</v>
      </c>
      <c r="G30" s="26" t="n">
        <v>46303</v>
      </c>
      <c r="H30" s="4"/>
      <c r="I30" s="4" t="s">
        <v>439</v>
      </c>
    </row>
    <row r="31" customFormat="false" ht="23.85" hidden="false" customHeight="false" outlineLevel="0" collapsed="false">
      <c r="A31" s="4" t="s">
        <v>513</v>
      </c>
      <c r="B31" s="4" t="s">
        <v>500</v>
      </c>
      <c r="C31" s="4" t="s">
        <v>301</v>
      </c>
      <c r="D31" s="4" t="s">
        <v>514</v>
      </c>
      <c r="E31" s="25" t="s">
        <v>302</v>
      </c>
      <c r="F31" s="4" t="s">
        <v>502</v>
      </c>
      <c r="G31" s="26" t="n">
        <v>46303</v>
      </c>
      <c r="H31" s="4"/>
      <c r="I31" s="4" t="s">
        <v>439</v>
      </c>
    </row>
    <row r="32" customFormat="false" ht="23.85" hidden="false" customHeight="false" outlineLevel="0" collapsed="false">
      <c r="A32" s="4" t="s">
        <v>515</v>
      </c>
      <c r="B32" s="4" t="s">
        <v>500</v>
      </c>
      <c r="C32" s="4" t="s">
        <v>303</v>
      </c>
      <c r="D32" s="4" t="s">
        <v>516</v>
      </c>
      <c r="E32" s="25" t="s">
        <v>304</v>
      </c>
      <c r="F32" s="4" t="s">
        <v>502</v>
      </c>
      <c r="G32" s="26" t="n">
        <v>46303</v>
      </c>
      <c r="H32" s="4"/>
      <c r="I32" s="4" t="s">
        <v>439</v>
      </c>
    </row>
    <row r="33" customFormat="false" ht="23.85" hidden="false" customHeight="false" outlineLevel="0" collapsed="false">
      <c r="A33" s="4" t="s">
        <v>517</v>
      </c>
      <c r="B33" s="4" t="s">
        <v>500</v>
      </c>
      <c r="C33" s="4" t="s">
        <v>305</v>
      </c>
      <c r="D33" s="4" t="s">
        <v>518</v>
      </c>
      <c r="E33" s="25" t="s">
        <v>304</v>
      </c>
      <c r="F33" s="4" t="s">
        <v>502</v>
      </c>
      <c r="G33" s="26" t="n">
        <v>46303</v>
      </c>
      <c r="H33" s="4"/>
      <c r="I33" s="4" t="s">
        <v>439</v>
      </c>
    </row>
    <row r="34" customFormat="false" ht="23.85" hidden="false" customHeight="false" outlineLevel="0" collapsed="false">
      <c r="A34" s="4" t="s">
        <v>519</v>
      </c>
      <c r="B34" s="4" t="s">
        <v>500</v>
      </c>
      <c r="C34" s="4" t="s">
        <v>306</v>
      </c>
      <c r="D34" s="4" t="s">
        <v>520</v>
      </c>
      <c r="E34" s="25" t="s">
        <v>304</v>
      </c>
      <c r="F34" s="4" t="s">
        <v>502</v>
      </c>
      <c r="G34" s="26" t="n">
        <v>46303</v>
      </c>
      <c r="H34" s="4"/>
      <c r="I34" s="4" t="s">
        <v>439</v>
      </c>
    </row>
    <row r="35" customFormat="false" ht="23.85" hidden="false" customHeight="false" outlineLevel="0" collapsed="false">
      <c r="A35" s="4" t="s">
        <v>521</v>
      </c>
      <c r="B35" s="4" t="s">
        <v>500</v>
      </c>
      <c r="C35" s="4" t="s">
        <v>307</v>
      </c>
      <c r="D35" s="4" t="s">
        <v>522</v>
      </c>
      <c r="E35" s="25" t="s">
        <v>304</v>
      </c>
      <c r="F35" s="4" t="s">
        <v>502</v>
      </c>
      <c r="G35" s="26" t="n">
        <v>46303</v>
      </c>
      <c r="H35" s="4"/>
      <c r="I35" s="4" t="s">
        <v>439</v>
      </c>
    </row>
    <row r="36" customFormat="false" ht="23.85" hidden="false" customHeight="false" outlineLevel="0" collapsed="false">
      <c r="A36" s="4" t="s">
        <v>523</v>
      </c>
      <c r="B36" s="4" t="s">
        <v>500</v>
      </c>
      <c r="C36" s="4" t="s">
        <v>308</v>
      </c>
      <c r="D36" s="4" t="s">
        <v>524</v>
      </c>
      <c r="E36" s="25" t="s">
        <v>304</v>
      </c>
      <c r="F36" s="4" t="s">
        <v>502</v>
      </c>
      <c r="G36" s="26" t="n">
        <v>46303</v>
      </c>
      <c r="H36" s="4"/>
      <c r="I36" s="4" t="s">
        <v>439</v>
      </c>
    </row>
    <row r="37" customFormat="false" ht="23.85" hidden="false" customHeight="false" outlineLevel="0" collapsed="false">
      <c r="A37" s="4" t="s">
        <v>525</v>
      </c>
      <c r="B37" s="4" t="s">
        <v>500</v>
      </c>
      <c r="C37" s="4" t="s">
        <v>526</v>
      </c>
      <c r="D37" s="4" t="s">
        <v>527</v>
      </c>
      <c r="E37" s="25" t="s">
        <v>528</v>
      </c>
      <c r="F37" s="4" t="s">
        <v>529</v>
      </c>
      <c r="G37" s="26" t="n">
        <v>46303</v>
      </c>
      <c r="H37" s="4" t="s">
        <v>530</v>
      </c>
      <c r="I37" s="4" t="s">
        <v>439</v>
      </c>
    </row>
    <row r="38" customFormat="false" ht="68.65" hidden="false" customHeight="false" outlineLevel="0" collapsed="false">
      <c r="A38" s="4" t="s">
        <v>531</v>
      </c>
      <c r="B38" s="4" t="s">
        <v>532</v>
      </c>
      <c r="C38" s="4" t="s">
        <v>533</v>
      </c>
      <c r="D38" s="4" t="s">
        <v>534</v>
      </c>
      <c r="E38" s="25" t="s">
        <v>535</v>
      </c>
      <c r="F38" s="4" t="s">
        <v>536</v>
      </c>
      <c r="G38" s="26" t="n">
        <v>46303</v>
      </c>
      <c r="H38" s="4" t="s">
        <v>537</v>
      </c>
      <c r="I38" s="4" t="s">
        <v>439</v>
      </c>
    </row>
    <row r="39" customFormat="false" ht="23.85" hidden="false" customHeight="false" outlineLevel="0" collapsed="false">
      <c r="A39" s="4" t="s">
        <v>538</v>
      </c>
      <c r="B39" s="4" t="s">
        <v>532</v>
      </c>
      <c r="C39" s="4" t="s">
        <v>539</v>
      </c>
      <c r="D39" s="4" t="s">
        <v>540</v>
      </c>
      <c r="E39" s="25" t="s">
        <v>541</v>
      </c>
      <c r="F39" s="4" t="s">
        <v>542</v>
      </c>
      <c r="G39" s="26" t="n">
        <v>46303</v>
      </c>
      <c r="H39" s="4" t="s">
        <v>543</v>
      </c>
      <c r="I39" s="4" t="s">
        <v>544</v>
      </c>
    </row>
    <row r="40" customFormat="false" ht="23.85" hidden="false" customHeight="false" outlineLevel="0" collapsed="false">
      <c r="A40" s="4" t="s">
        <v>545</v>
      </c>
      <c r="B40" s="4" t="s">
        <v>532</v>
      </c>
      <c r="C40" s="4" t="s">
        <v>546</v>
      </c>
      <c r="D40" s="4" t="s">
        <v>547</v>
      </c>
      <c r="E40" s="25" t="s">
        <v>548</v>
      </c>
      <c r="F40" s="4" t="s">
        <v>542</v>
      </c>
      <c r="G40" s="26" t="n">
        <v>46303</v>
      </c>
      <c r="H40" s="4" t="s">
        <v>549</v>
      </c>
      <c r="I40" s="4" t="s">
        <v>544</v>
      </c>
    </row>
    <row r="41" customFormat="false" ht="23.85" hidden="false" customHeight="false" outlineLevel="0" collapsed="false">
      <c r="A41" s="4" t="s">
        <v>550</v>
      </c>
      <c r="B41" s="4" t="s">
        <v>532</v>
      </c>
      <c r="C41" s="4" t="s">
        <v>551</v>
      </c>
      <c r="D41" s="4" t="s">
        <v>552</v>
      </c>
      <c r="E41" s="25" t="s">
        <v>553</v>
      </c>
      <c r="F41" s="4" t="s">
        <v>554</v>
      </c>
      <c r="G41" s="26" t="n">
        <v>46303</v>
      </c>
      <c r="H41" s="4" t="s">
        <v>555</v>
      </c>
      <c r="I41" s="4" t="s">
        <v>544</v>
      </c>
    </row>
    <row r="42" customFormat="false" ht="23.85" hidden="false" customHeight="false" outlineLevel="0" collapsed="false">
      <c r="A42" s="4" t="s">
        <v>556</v>
      </c>
      <c r="B42" s="4" t="s">
        <v>532</v>
      </c>
      <c r="C42" s="4" t="s">
        <v>557</v>
      </c>
      <c r="D42" s="4" t="s">
        <v>558</v>
      </c>
      <c r="E42" s="25" t="s">
        <v>559</v>
      </c>
      <c r="F42" s="4" t="s">
        <v>536</v>
      </c>
      <c r="G42" s="26" t="n">
        <v>46303</v>
      </c>
      <c r="H42" s="4"/>
      <c r="I42" s="4" t="s">
        <v>439</v>
      </c>
    </row>
    <row r="43" customFormat="false" ht="35.05" hidden="false" customHeight="false" outlineLevel="0" collapsed="false">
      <c r="A43" s="4" t="s">
        <v>560</v>
      </c>
      <c r="B43" s="4" t="s">
        <v>561</v>
      </c>
      <c r="C43" s="4" t="s">
        <v>562</v>
      </c>
      <c r="D43" s="4" t="s">
        <v>563</v>
      </c>
      <c r="E43" s="25" t="s">
        <v>564</v>
      </c>
      <c r="F43" s="4" t="s">
        <v>565</v>
      </c>
      <c r="G43" s="26" t="n">
        <v>46303</v>
      </c>
      <c r="H43" s="4"/>
      <c r="I43" s="4" t="s">
        <v>439</v>
      </c>
    </row>
    <row r="44" customFormat="false" ht="23.85" hidden="false" customHeight="false" outlineLevel="0" collapsed="false">
      <c r="A44" s="4" t="s">
        <v>566</v>
      </c>
      <c r="B44" s="4" t="s">
        <v>561</v>
      </c>
      <c r="C44" s="4" t="s">
        <v>567</v>
      </c>
      <c r="D44" s="4" t="s">
        <v>568</v>
      </c>
      <c r="E44" s="25" t="s">
        <v>569</v>
      </c>
      <c r="F44" s="4" t="s">
        <v>565</v>
      </c>
      <c r="G44" s="26" t="n">
        <v>46303</v>
      </c>
      <c r="H44" s="4"/>
      <c r="I44" s="4" t="s">
        <v>439</v>
      </c>
    </row>
    <row r="45" customFormat="false" ht="23.85" hidden="false" customHeight="false" outlineLevel="0" collapsed="false">
      <c r="A45" s="4" t="s">
        <v>570</v>
      </c>
      <c r="B45" s="4" t="s">
        <v>571</v>
      </c>
      <c r="C45" s="4" t="s">
        <v>572</v>
      </c>
      <c r="D45" s="4" t="s">
        <v>573</v>
      </c>
      <c r="E45" s="25" t="s">
        <v>574</v>
      </c>
      <c r="F45" s="4" t="s">
        <v>575</v>
      </c>
      <c r="G45" s="26" t="n">
        <v>46303</v>
      </c>
      <c r="H45" s="4"/>
      <c r="I45" s="4" t="s">
        <v>439</v>
      </c>
    </row>
    <row r="46" customFormat="false" ht="23.85" hidden="false" customHeight="false" outlineLevel="0" collapsed="false">
      <c r="A46" s="4" t="s">
        <v>576</v>
      </c>
      <c r="B46" s="4" t="s">
        <v>571</v>
      </c>
      <c r="C46" s="4" t="s">
        <v>577</v>
      </c>
      <c r="D46" s="4" t="s">
        <v>578</v>
      </c>
      <c r="E46" s="25" t="s">
        <v>579</v>
      </c>
      <c r="F46" s="4" t="s">
        <v>580</v>
      </c>
      <c r="G46" s="26" t="n">
        <v>46303</v>
      </c>
      <c r="H46" s="4" t="s">
        <v>581</v>
      </c>
      <c r="I46" s="4" t="s">
        <v>439</v>
      </c>
    </row>
    <row r="47" customFormat="false" ht="23.85" hidden="false" customHeight="false" outlineLevel="0" collapsed="false">
      <c r="A47" s="4" t="s">
        <v>582</v>
      </c>
      <c r="B47" s="4" t="s">
        <v>561</v>
      </c>
      <c r="C47" s="4" t="s">
        <v>170</v>
      </c>
      <c r="D47" s="4" t="s">
        <v>583</v>
      </c>
      <c r="E47" s="25" t="s">
        <v>584</v>
      </c>
      <c r="F47" s="4" t="s">
        <v>585</v>
      </c>
      <c r="G47" s="26" t="n">
        <v>46303</v>
      </c>
      <c r="H47" s="4"/>
      <c r="I47" s="4" t="s">
        <v>439</v>
      </c>
    </row>
    <row r="48" customFormat="false" ht="23.85" hidden="false" customHeight="false" outlineLevel="0" collapsed="false">
      <c r="A48" s="4" t="s">
        <v>586</v>
      </c>
      <c r="B48" s="4" t="s">
        <v>587</v>
      </c>
      <c r="C48" s="4" t="s">
        <v>114</v>
      </c>
      <c r="D48" s="4" t="s">
        <v>588</v>
      </c>
      <c r="E48" s="25" t="s">
        <v>484</v>
      </c>
      <c r="F48" s="4" t="s">
        <v>485</v>
      </c>
      <c r="G48" s="26" t="n">
        <v>46303</v>
      </c>
      <c r="H48" s="4" t="s">
        <v>589</v>
      </c>
      <c r="I48" s="4" t="s">
        <v>439</v>
      </c>
    </row>
  </sheetData>
  <mergeCells count="1">
    <mergeCell ref="A3:H3"/>
  </mergeCells>
  <hyperlinks>
    <hyperlink ref="E5" r:id="rId1" display="https://www.kmart.com.au/product/boucle-home-office-chair-43228386/"/>
    <hyperlink ref="E6" r:id="rId2" display="https://www.kmart.com.au/product/sky-office-chair-43682737/"/>
    <hyperlink ref="E7" r:id="rId3" display="https://www.kmart.com.au/product/alfordson-mesh-office-chair-executive-seat-tilt-gaming-racing-computer-grey-110049597/"/>
    <hyperlink ref="E8" r:id="rId4" display="https://www.bunnings.com.au/alfordson-mesh-office-chair-dark-grey_p0508818"/>
    <hyperlink ref="E9" r:id="rId5" display="https://www.bunnings.com.au/alfordson-office-chair-white_p0477986"/>
    <hyperlink ref="E10" r:id="rId6" display="https://www.bunnings.com.au/artiss-black-pu-leather-executive-office-chair_p0215110"/>
    <hyperlink ref="E11" r:id="rId7" display="https://www.bigw.com.au/product/1-alfordson-office-chair/p/9900120141"/>
    <hyperlink ref="E12" r:id="rId8" display="https://www.bigw.com.au/product/alfordson-velvet-office-chair-for-work-mid-back-grey/p/9900116761"/>
    <hyperlink ref="E13" r:id="rId9" display="https://www.bigw.com.au/product/alfordson-mesh-office-chair-racing-ergonomic-computer-chair-all-black/p/9902748573"/>
    <hyperlink ref="E14" r:id="rId10" display="https://www.kogan.com/au/buy/ergolux-plus-ergonomic-mesh-office-chair-with-footrest-black-ergolux/"/>
    <hyperlink ref="E15" r:id="rId11" display="https://www.kogan.com/au/buy/ergolux-core-ergonomic-foam-office-chair-black-ergolux/"/>
    <hyperlink ref="E16" r:id="rId12" display="https://www.kogan.com/au/buy/sel-levede-office-chair-mesh-gaming-executive-tilt-chairs-computer-study-work-seat-of1040-bk/"/>
    <hyperlink ref="E17" r:id="rId13" display="https://www.templeandwebster.com.au/Kylian-Executive-Chair-OIKT1510.html"/>
    <hyperlink ref="E18" r:id="rId14" display="https://www.templeandwebster.com.au/Naomi-Mesh-Office-Chair-ALFD1293.html"/>
    <hyperlink ref="E19" r:id="rId15" display="https://www.templeandwebster.com.au/Holly-Boucle-Office-Chair-TMPL6117.html"/>
    <hyperlink ref="E20" r:id="rId16" display="https://www.kmart.com.au/search/?searchTerm=office%20chair"/>
    <hyperlink ref="E21" r:id="rId17" display="https://www.bunnings.com.au/search/products?q=office%20chair"/>
    <hyperlink ref="E22" r:id="rId18" display="https://www.bigw.com.au/search?text=office+chair"/>
    <hyperlink ref="E23" r:id="rId19" display="https://www.kogan.com/au/shop/category/home-garden-3804/office-chairs/"/>
    <hyperlink ref="E24" r:id="rId20" display="https://www.templeandwebster.com.au/Office-Chairs-C1812704.html"/>
    <hyperlink ref="E25" r:id="rId21" display="https://www.bunnings.com.au/jack-1600-x-800mm-rectangular-raised-garden-bed_p0807491"/>
    <hyperlink ref="E26" r:id="rId22" display="https://www.templeandwebster.com.au/Gordo-Galvanised-Steel-Raised-Garden-Bed-OIKT1274.html"/>
    <hyperlink ref="E27" r:id="rId23" display="https://www.kogan.com/au/buy/sel-pawz-cat-tree-scratching-post-scratcher-cats-tower-wood-condo-toys-house-138cm-pt1155/"/>
    <hyperlink ref="E28" r:id="rId24" display="https://www.kogan.com/au/buy/aussie-union-group-beastie-cat-tree-tower-scratching-post-black-104cm-kgv_a-cat-e-4st-104-bk/"/>
    <hyperlink ref="E29" r:id="rId25" display="https://www.bunnings.com.au/alopet-142cm-cat-tree-tower-scratching-post-scratcher_p0520575"/>
    <hyperlink ref="E30" r:id="rId26" display="https://www.kmart.com.au/product/advwin-cat-scratching-post-cat-tree-110009500/"/>
    <hyperlink ref="E31" r:id="rId27" display="https://www.kogan.com/au/buy/290l-plastic-outdoor-storage-box-container-weatherproof-black-home-furniture/"/>
    <hyperlink ref="E32" r:id="rId28" display="https://www.bunnings.com.au/products/outdoor-living/outdoor-furniture/outdoor-storage/outdoor-storage-boxes"/>
    <hyperlink ref="E33" r:id="rId29" display="https://www.bunnings.com.au/products/outdoor-living/outdoor-furniture/outdoor-storage/outdoor-storage-boxes"/>
    <hyperlink ref="E34" r:id="rId30" display="https://www.bunnings.com.au/products/outdoor-living/outdoor-furniture/outdoor-storage/outdoor-storage-boxes"/>
    <hyperlink ref="E35" r:id="rId31" display="https://www.bunnings.com.au/products/outdoor-living/outdoor-furniture/outdoor-storage/outdoor-storage-boxes"/>
    <hyperlink ref="E36" r:id="rId32" display="https://www.bunnings.com.au/products/outdoor-living/outdoor-furniture/outdoor-storage/outdoor-storage-boxes"/>
    <hyperlink ref="E37" r:id="rId33" display="https://trends.google.com/trends/explore?date=today%205-y&amp;geo=AU&amp;q=raised%20garden%20bed,outdoor%20storage%20box,cat%20tree&amp;hl=en-AU"/>
    <hyperlink ref="E38" r:id="rId34" display="https://auspost.com.au/content/dam/auspost_corp/media/documents/australia-post-ecommerce-report-2026-home-garden.pdf"/>
    <hyperlink ref="E39" r:id="rId35" display="https://www.parcelandpostaltechnologyinternational.com/news/e-commerce/australian-online-spending-reaches-a82-6bn-in-2025.html"/>
    <hyperlink ref="E40" r:id="rId36" display="https://www.ipc.be/news-portal/e-commerce/2026/03/18/16/03/aussies-add-82-6-billion-to-cart"/>
    <hyperlink ref="E41" r:id="rId37" display="https://eightx.co/blog/australian-online-retail-category-share-2026"/>
    <hyperlink ref="E42" r:id="rId38" display="https://auspost.com.au/content/dam/auspost_corp/media/documents/australia-post-ecommerce-report-2026-pet-products.pdf"/>
    <hyperlink ref="E43" r:id="rId39" display="https://auspost.com.au/business/ecommerce/ecommerce-report"/>
    <hyperlink ref="E44" r:id="rId40" display="https://auspost.com.au/business/marketing-and-communications/access-data-and-insights/ecommerce-trends"/>
    <hyperlink ref="E45" r:id="rId41" display="https://www.abs.gov.au/media-centre/media-releases/household-spending-unchanged-august"/>
    <hyperlink ref="E46" r:id="rId42" display="https://www.amazon.com.au/gp/bestsellers/home/4975214051"/>
    <hyperlink ref="E47" r:id="rId43" display="https://www.kogan.com/au/c/garden-beds/"/>
    <hyperlink ref="E48" r:id="rId44" display="https://www.kmart.com.au/search/?searchTerm=office%20chair"/>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6"/>
  </cols>
  <sheetData>
    <row r="1" customFormat="false" ht="17.35" hidden="false" customHeight="false" outlineLevel="0" collapsed="false">
      <c r="A1" s="1" t="s">
        <v>590</v>
      </c>
    </row>
    <row r="3" customFormat="false" ht="15" hidden="false" customHeight="false" outlineLevel="0" collapsed="false">
      <c r="A3" s="5" t="s">
        <v>591</v>
      </c>
      <c r="B3" s="5" t="s">
        <v>336</v>
      </c>
    </row>
    <row r="4" customFormat="false" ht="15" hidden="false" customHeight="false" outlineLevel="0" collapsed="false">
      <c r="A4" s="4" t="s">
        <v>592</v>
      </c>
      <c r="B4" s="10" t="str">
        <f aca="false">IF(SUM(Q1_Profit!D5:D9)=SUM(Q1_Profit!C5:C9)-SUM(Q1_Profit!B5:B9),"PASS","FAIL")</f>
        <v>PASS</v>
      </c>
    </row>
    <row r="5" customFormat="false" ht="15" hidden="false" customHeight="false" outlineLevel="0" collapsed="false">
      <c r="A5" s="4" t="s">
        <v>593</v>
      </c>
      <c r="B5" s="10" t="str">
        <f aca="false">IF(Q1_Profit!B11="Bedside Table","PASS","FAIL")</f>
        <v>PASS</v>
      </c>
    </row>
    <row r="6" customFormat="false" ht="15" hidden="false" customHeight="false" outlineLevel="0" collapsed="false">
      <c r="A6" s="4" t="s">
        <v>594</v>
      </c>
      <c r="B6" s="10" t="str">
        <f aca="false">IF(COUNTA(Q4_Competitors!A5:A19)=15,"PASS","FAIL")</f>
        <v>PASS</v>
      </c>
    </row>
    <row r="7" customFormat="false" ht="15" hidden="false" customHeight="false" outlineLevel="0" collapsed="false">
      <c r="A7" s="4" t="s">
        <v>595</v>
      </c>
      <c r="B7" s="10" t="str">
        <f aca="false">IF(MIN(Q4_Summary!B5:B9)&gt;=3,"PASS","FAIL")</f>
        <v>PASS</v>
      </c>
    </row>
    <row r="8" customFormat="false" ht="15" hidden="false" customHeight="false" outlineLevel="0" collapsed="false">
      <c r="A8" s="4" t="s">
        <v>596</v>
      </c>
      <c r="B8" s="10" t="str">
        <f aca="false">IF(COUNTIF(Q4_Competitors!O5:O19,"https://*")=15,"PASS","FAIL")</f>
        <v>PASS</v>
      </c>
    </row>
    <row r="9" customFormat="false" ht="15" hidden="false" customHeight="false" outlineLevel="0" collapsed="false">
      <c r="A9" s="4" t="s">
        <v>597</v>
      </c>
      <c r="B9" s="10" t="str">
        <f aca="false">IF(COUNT(Q4_Competitors!G5:G19)=15,"PASS","FAIL")</f>
        <v>PASS</v>
      </c>
    </row>
    <row r="10" customFormat="false" ht="15" hidden="false" customHeight="false" outlineLevel="0" collapsed="false">
      <c r="A10" s="4" t="s">
        <v>598</v>
      </c>
      <c r="B10" s="10" t="str">
        <f aca="false">IF(Q6_Profitability!C22="MATCHES row 18","PASS","FAIL")</f>
        <v>PASS</v>
      </c>
    </row>
    <row r="11" customFormat="false" ht="15" hidden="false" customHeight="false" outlineLevel="0" collapsed="false">
      <c r="A11" s="4" t="s">
        <v>599</v>
      </c>
      <c r="B11" s="10" t="str">
        <f aca="false">IF(ROUND(Q6_Profitability!B12,2)=39.95,"PASS","FAIL")</f>
        <v>PASS</v>
      </c>
    </row>
    <row r="12" customFormat="false" ht="15" hidden="false" customHeight="false" outlineLevel="0" collapsed="false">
      <c r="A12" s="4" t="s">
        <v>600</v>
      </c>
      <c r="B12" s="10" t="str">
        <f aca="false">IF(AND(Q8_Sales!F5=150,Q8_Sales!F6=150,Q8_Sales!F7=150,Q8_Sales!F8=150),"PASS","FAIL")</f>
        <v>PASS</v>
      </c>
    </row>
    <row r="13" customFormat="false" ht="15" hidden="false" customHeight="false" outlineLevel="0" collapsed="false">
      <c r="A13" s="4" t="s">
        <v>601</v>
      </c>
      <c r="B13" s="10" t="str">
        <f aca="false">IF(Q9_Funnel!B17="OK","PASS","FAIL")</f>
        <v>PASS</v>
      </c>
    </row>
    <row r="14" customFormat="false" ht="15" hidden="false" customHeight="false" outlineLevel="0" collapsed="false">
      <c r="A14" s="4" t="s">
        <v>602</v>
      </c>
      <c r="B14" s="10" t="str">
        <f aca="false">IF(COUNTA(Sources!A5:A200)&gt;=30,"PASS","FAIL")</f>
        <v>PASS</v>
      </c>
    </row>
    <row r="15" customFormat="false" ht="15" hidden="false" customHeight="false" outlineLevel="0" collapsed="false">
      <c r="A15" s="4" t="s">
        <v>603</v>
      </c>
      <c r="B15" s="10" t="str">
        <f aca="false">IF(AND(ROUND(Q6_Profitability!B18,2)=17.45,ROUND(Q6_Profitability!B19,3)=0.116),"PASS","FAIL")</f>
        <v>PASS</v>
      </c>
    </row>
    <row r="16" customFormat="false" ht="15" hidden="false" customHeight="false" outlineLevel="0" collapsed="false">
      <c r="A16" s="4" t="s">
        <v>604</v>
      </c>
      <c r="B16" s="10" t="str">
        <f aca="false">IF(ROUND(Q6_Profitability!B17,2)=22.5,"PASS","FAIL")</f>
        <v>PASS</v>
      </c>
    </row>
    <row r="17" customFormat="false" ht="23.85" hidden="false" customHeight="false" outlineLevel="0" collapsed="false">
      <c r="A17" s="4" t="s">
        <v>605</v>
      </c>
      <c r="B17" s="10" t="str">
        <f aca="false">IF(AND(ROUND(Q8_Sales!E5,4)=0.02,ROUND(Q8_Sales!E6,4)=0.0175,ROUND(Q8_Sales!E7,4)=0.0137,ROUND(Q8_Sales!E8,4)=0.0105),"PASS","FAIL")</f>
        <v>PASS</v>
      </c>
    </row>
    <row r="18" customFormat="false" ht="23.85" hidden="false" customHeight="false" outlineLevel="0" collapsed="false">
      <c r="A18" s="4" t="s">
        <v>606</v>
      </c>
      <c r="B18" s="10" t="str">
        <f aca="false">IF(ABS(Q8_Sales!E8-Q8_Sales!C8/Q8_Sales!B8)+ABS(Q8_Sales!E5-Q8_Sales!C5/Q8_Sales!B5)&lt;0.0000001,"PASS","FAIL")</f>
        <v>PASS</v>
      </c>
    </row>
    <row r="19" customFormat="false" ht="15" hidden="false" customHeight="false" outlineLevel="0" collapsed="false">
      <c r="A19" s="4" t="s">
        <v>607</v>
      </c>
      <c r="B19" s="10" t="str">
        <f aca="false">IF(AND(ROUND(Q9_Funnel!D11,4)=0.05,ROUND(Q9_Funnel!D12,4)=0.2,ROUND(Q9_Funnel!D13,4)=0.2,ROUND(Q9_Funnel!D14,4)=0.002),"PASS","FAIL")</f>
        <v>PASS</v>
      </c>
    </row>
    <row r="20" customFormat="false" ht="23.85" hidden="false" customHeight="false" outlineLevel="0" collapsed="false">
      <c r="A20" s="4" t="s">
        <v>608</v>
      </c>
      <c r="B20" s="10" t="str">
        <f aca="false">IF(COUNTIF(Q4_Competitors!G5:G19,"&lt;"&amp;Q4_Summary!D10)=7,"PASS","FAIL")</f>
        <v>PASS</v>
      </c>
    </row>
    <row r="21" customFormat="false" ht="15" hidden="false" customHeight="false" outlineLevel="0" collapsed="false">
      <c r="A21" s="4" t="s">
        <v>609</v>
      </c>
      <c r="B21" s="10" t="str">
        <f aca="false">IF(SUMPRODUCT(1/COUNTIF(Q4_Competitors!A5:A19,Q4_Competitors!A5:A19))=15,"PASS","FAIL")</f>
        <v>PASS</v>
      </c>
    </row>
    <row r="22" customFormat="false" ht="15" hidden="false" customHeight="false" outlineLevel="0" collapsed="false">
      <c r="A22" s="4" t="s">
        <v>610</v>
      </c>
      <c r="B22" s="10" t="str">
        <f aca="false">IF(COUNTIF(Sources!E5:E200,"https://*")=COUNTA(Sources!A5:A200),"PASS","FAIL")</f>
        <v>PASS</v>
      </c>
    </row>
    <row r="24" customFormat="false" ht="15" hidden="false" customHeight="false" outlineLevel="0" collapsed="false">
      <c r="A24" s="3" t="s">
        <v>611</v>
      </c>
      <c r="B24" s="10" t="str">
        <f aca="false">IF(COUNTIF(B4:B22,"PASS")=19,"ALL PASS","REVIEW")</f>
        <v>ALL PASS</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2026-10-08T09:26:40Z</dcterms:created>
  <dc:creator>openpyxl</dc:creator>
  <dc:description/>
  <dc:language>en-US</dc:language>
  <cp:lastModifiedBy/>
  <dcterms:modified xsi:type="dcterms:W3CDTF">2026-10-08T09:26:40Z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